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77dcb035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cd8b6181fe74944"/>
    <x:sheet xmlns:r="http://schemas.openxmlformats.org/officeDocument/2006/relationships" name="Listagem de Sócios" sheetId="3" r:id="Rb12cfbdb4fbe4659"/>
    <x:sheet xmlns:r="http://schemas.openxmlformats.org/officeDocument/2006/relationships" name="Folha Sócio SIMPLES" sheetId="4" r:id="R4ba090f51eea4932"/>
    <x:sheet xmlns:r="http://schemas.openxmlformats.org/officeDocument/2006/relationships" name="1" sheetId="5" r:id="R2b6e6977c5db462b"/>
  </x:sheets>
  <x:definedNames>
    <x:definedName name="NumerosSocios">'Listagem de Sócios'!$A$4:$A$53</x:definedName>
  </x:definedNames>
</x:workbook>
</file>

<file path=xl/sharedStrings.xml><?xml version="1.0" encoding="utf-8"?>
<x:sst xmlns:x="http://schemas.openxmlformats.org/spreadsheetml/2006/main">
  <x:si>
    <x:t xml:space="preserve">RESUMO DE SÓCIOS</x:t>
  </x:si>
  <x:si>
    <x:t xml:space="preserve">N.º TOTAL DE SÓCIOS</x:t>
  </x:si>
  <x:si>
    <x:t xml:space="preserve">SÓCIOS COM QUOTAS EM DIA</x:t>
  </x:si>
  <x:si>
    <x:t xml:space="preserve">SÓCIOS COM QUOTAS EM FALTA</x:t>
  </x:si>
  <x:si>
    <x:t xml:space="preserve">Nº Sócio</x:t>
  </x:si>
  <x:si>
    <x:t xml:space="preserve">Nome</x:t>
  </x:si>
  <x:si>
    <x:t xml:space="preserve">Contacto</x:t>
  </x:si>
  <x:si>
    <x:t xml:space="preserve">NIF</x:t>
  </x:si>
  <x:si>
    <x:t xml:space="preserve">Localidade</x:t>
  </x:si>
  <x:si>
    <x:t xml:space="preserve">Morada completa</x:t>
  </x:si>
  <x:si>
    <x:t xml:space="preserve">Código Postal</x:t>
  </x:si>
  <x:si>
    <x:t xml:space="preserve">Email</x:t>
  </x:si>
  <x:si>
    <x:t xml:space="preserve">2026</x:t>
  </x:si>
  <x:si>
    <x:t xml:space="preserve">2027</x:t>
  </x:si>
  <x:si>
    <x:t xml:space="preserve">2028</x:t>
  </x:si>
  <x:si>
    <x:t xml:space="preserve">2029</x:t>
  </x:si>
  <x:si>
    <x:t xml:space="preserve">2030</x:t>
  </x:si>
  <x:si>
    <x:t xml:space="preserve">Modo de pagamento</x:t>
  </x:si>
  <x:si>
    <x:t xml:space="preserve">Data de inscrição</x:t>
  </x:si>
  <x:si>
    <x:t xml:space="preserve">Observações</x:t>
  </x:si>
  <x:si>
    <x:t xml:space="preserve">Associação TEAM JM</x:t>
  </x:si>
  <x:si>
    <x:t xml:space="preserve">Rua do Centro, 19</x:t>
  </x:si>
  <x:si>
    <x:t xml:space="preserve">2440-210 Reguengo do Fetal</x:t>
  </x:si>
  <x:si>
    <x:t xml:space="preserve">NIF .: 519 312 724</x:t>
  </x:si>
  <x:si>
    <x:t xml:space="preserve">Tel .: 963 069 801</x:t>
  </x:si>
  <x:si>
    <x:t xml:space="preserve">Email .: teamjm29@gmail.com</x:t>
  </x:si>
  <x:si>
    <x:t xml:space="preserve">Sócio Nº</x:t>
  </x:si>
  <x:si>
    <x:t xml:space="preserve">Iban.:PT50004550804041606207454 </x:t>
  </x:si>
  <x:si>
    <x:t xml:space="preserve">1. Serviços Associativos</x:t>
  </x:si>
  <x:si>
    <x:t xml:space="preserve">Data de inscrição:</x:t>
  </x:si>
  <x:si>
    <x:t xml:space="preserve">Assinatura </x:t>
  </x:si>
  <x:si>
    <x:t xml:space="preserve">Aprovado:</x:t>
  </x:si>
  <x:si>
    <x:t xml:space="preserve">/</x:t>
  </x:si>
  <x:si>
    <x:t xml:space="preserve">2. Dados Pessoais</x:t>
  </x:si>
  <x:si>
    <x:t xml:space="preserve">Nome Completo:</x:t>
  </x:si>
  <x:si>
    <x:t xml:space="preserve">NIF.:</x:t>
  </x:si>
  <x:si>
    <x:t xml:space="preserve">Morada:</x:t>
  </x:si>
  <x:si>
    <x:t xml:space="preserve">Codigo Postal:</x:t>
  </x:si>
  <x:si>
    <x:t xml:space="preserve">Email:</x:t>
  </x:si>
  <x:si>
    <x:t xml:space="preserve">Telemóvel .:</x:t>
  </x:si>
  <x:si>
    <x:t xml:space="preserve">3. Quota </x:t>
  </x:si>
  <x:si>
    <x:t xml:space="preserve">Valor da quota ANUAL - 12€</x:t>
  </x:si>
  <x:si>
    <x:t xml:space="preserve">4. Termos e Condições</x:t>
  </x:si>
  <x:si>
    <x:t xml:space="preserve">Declaro, sob compromisso de honra, que as informações prestadas são verdadeiras. Autorizo a recolha e tratamento dos meus dados pessoais para efeitos exclusivos de gestão de associados. Declaro ainda conhecer e aceitar os Estatutos e Regulamentos Internos da associação.</x:t>
  </x:si>
  <x:si>
    <x:t xml:space="preserve">Assinatura</x:t>
  </x:si>
  <x:si>
    <x:t xml:space="preserve">Data:</x:t>
  </x:si>
  <x:si>
    <x:t xml:space="preserve"> </x:t>
  </x:si>
  <x:si>
    <x:t xml:space="preserve">FICHA DE EXEMPLO — não utilizar para novos sócios</x:t>
  </x:si>
  <x:si>
    <x:t xml:space="preserve">Nº</x:t>
  </x:si>
  <x:si>
    <x:t xml:space="preserve">Data de receção:</x:t>
  </x:si>
  <x:si>
    <x:t xml:space="preserve">1. Dados Pessoais</x:t>
  </x:si>
  <x:si>
    <x:t xml:space="preserve">Data de nascimento:</x:t>
  </x:si>
  <x:si>
    <x:t xml:space="preserve">NIF:</x:t>
  </x:si>
  <x:si>
    <x:t xml:space="preserve">Cartão Cidadão:</x:t>
  </x:si>
  <x:si>
    <x:t xml:space="preserve">Profissão:</x:t>
  </x:si>
  <x:si>
    <x:t xml:space="preserve">2. Morada</x:t>
  </x:si>
  <x:si>
    <x:t xml:space="preserve">Morada completa:</x:t>
  </x:si>
  <x:si>
    <x:t xml:space="preserve">Localidade:</x:t>
  </x:si>
  <x:si>
    <x:t xml:space="preserve">Telemóvel:</x:t>
  </x:si>
  <x:si>
    <x:t xml:space="preserve">mailto:rakellinosoares@gmail.com</x:t>
  </x:si>
  <x:si>
    <x:t xml:space="preserve">Valor da cota MENSAL - 1€</x:t>
  </x:si>
  <x:si>
    <x:t xml:space="preserve">Valor da cota ANUAL - 12€</x:t>
  </x:si>
</x:sst>
</file>

<file path=xl/styles.xml><?xml version="1.0" encoding="utf-8"?>
<x:styleSheet xmlns:x="http://schemas.openxmlformats.org/spreadsheetml/2006/main">
  <x:numFmts count="3">
    <x:numFmt numFmtId="164" formatCode="0000\-000"/>
    <x:numFmt numFmtId="200" formatCode="dd/mm/yyyy"/>
    <x:numFmt numFmtId="201" formatCode="#,##0.00 &quot;€&quot;"/>
  </x:numFmts>
  <x:fonts count="20">
    <x:font>
      <x:sz val="11"/>
      <x:color theme="1"/>
      <x:name val="Aptos Narrow"/>
    </x:font>
    <x:font>
      <x:b/>
      <x:sz val="12"/>
      <x:color theme="1"/>
      <x:name val="Aptos Narrow"/>
    </x:font>
    <x:font>
      <x:sz val="12"/>
      <x:color theme="1"/>
      <x:name val="Aptos Narrow"/>
    </x:font>
    <x:font>
      <x:sz val="12"/>
      <x:color theme="1"/>
      <x:name val="Arial"/>
    </x:font>
    <x:font>
      <x:b/>
      <x:sz val="12"/>
      <x:color theme="1"/>
      <x:name val="Arial"/>
    </x:font>
    <x:font>
      <x:sz val="11"/>
      <x:color theme="10"/>
      <x:name val="Aptos Narrow"/>
    </x:font>
    <x:font>
      <x:sz val="11"/>
      <x:name val="Aptos Narrow"/>
    </x:font>
    <x:font>
      <x:b/>
      <x:sz val="11"/>
      <x:color rgb="FF9C0006"/>
      <x:name val="Aptos Narrow"/>
    </x:font>
    <x:font>
      <x:sz val="11"/>
      <x:color theme="1"/>
      <x:name val="Arial"/>
    </x:font>
    <x:font>
      <x:b/>
      <x:sz val="12"/>
      <x:color rgb="FFFFFFFF"/>
      <x:name val="Arial"/>
    </x:font>
    <x:font>
      <x:sz val="12"/>
      <x:name val="Arial"/>
    </x:font>
    <x:font>
      <x:b/>
      <x:sz val="11"/>
      <x:color rgb="FFFFFFFF"/>
      <x:name val="Aptos Narrow"/>
    </x:font>
    <x:font>
      <x:b/>
      <x:sz val="18"/>
      <x:color rgb="FFFFFFFF"/>
      <x:name val="Aptos Narrow"/>
    </x:font>
    <x:font>
      <x:b/>
      <x:sz val="16"/>
      <x:name val="Aptos Narrow"/>
    </x:font>
    <x:font>
      <x:b/>
      <x:sz val="11"/>
      <x:name val="Arial"/>
    </x:font>
    <x:font>
      <x:i/>
      <x:sz val="11"/>
      <x:color rgb="FF666666"/>
      <x:name val="Arial"/>
    </x:font>
    <x:font>
      <x:b/>
      <x:i/>
      <x:sz val="12"/>
      <x:color theme="1"/>
      <x:name val="Arial"/>
    </x:font>
    <x:font>
      <x:b/>
      <x:sz val="16"/>
      <x:color theme="3"/>
      <x:name val="Arial"/>
    </x:font>
    <x:font>
      <x:b/>
      <x:sz val="11"/>
      <x:color theme="1"/>
      <x:name val="Arial"/>
    </x:font>
    <x:font>
      <x:b/>
      <x:sz val="11"/>
      <x:color theme="1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theme="5" tint="-0.24998"/>
      </x:patternFill>
    </x:fill>
    <x:fill>
      <x:patternFill patternType="solid">
        <x:fgColor theme="0" tint="-0.49998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2A5B84"/>
      </x:patternFill>
    </x:fill>
  </x:fills>
  <x:borders count="54">
    <x:border/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/>
    <x:border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2">
    <x:xf numFmtId="0" fontId="0" fillId="0" borderId="0"/>
    <x:xf numFmtId="0" fontId="5" fillId="0" borderId="0"/>
  </x:cellStyleXfs>
  <x:cellXfs count="364">
    <x:xf numFmtId="0" fontId="0" fillId="0" borderId="0" xfId="0"/>
    <x:xf numFmtId="0" fontId="0" fillId="0" borderId="1" xfId="0" applyBorder="1" applyAlignment="1">
      <x:alignment horizontal="right"/>
    </x:xf>
    <x:xf numFmtId="0" fontId="0" fillId="0" borderId="5" xfId="0" applyBorder="1"/>
    <x:xf numFmtId="0" fontId="0" fillId="0" borderId="0" xfId="0" applyAlignment="1">
      <x:alignment horizontal="right"/>
    </x:xf>
    <x:xf numFmtId="0" fontId="0" fillId="0" borderId="8" xfId="0" applyBorder="1"/>
    <x:xf numFmtId="0" fontId="0" fillId="0" borderId="9" xfId="0" applyBorder="1"/>
    <x:xf numFmtId="0" fontId="0" fillId="0" borderId="10" xfId="0" applyBorder="1"/>
    <x:xf numFmtId="0" fontId="2" fillId="0" borderId="4" xfId="0" applyFont="1" applyBorder="1"/>
    <x:xf numFmtId="0" fontId="2" fillId="0" borderId="5" xfId="0" applyFont="1" applyBorder="1"/>
    <x:xf numFmtId="0" fontId="2" fillId="0" borderId="6" xfId="0" applyFont="1" applyBorder="1"/>
    <x:xf numFmtId="0" fontId="2" fillId="0" borderId="7" xfId="0" applyFont="1" applyBorder="1"/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0" xfId="0" applyFont="1"/>
    <x:xf numFmtId="0" fontId="2" fillId="0" borderId="0" xfId="0" applyFont="1" applyAlignment="1">
      <x:alignment vertical="center"/>
    </x:xf>
    <x:xf numFmtId="0" fontId="0" fillId="0" borderId="6" xfId="0" applyBorder="1" applyAlignment="1">
      <x:alignment wrapText="1"/>
    </x:xf>
    <x:xf numFmtId="0" fontId="0" fillId="0" borderId="0" xfId="0" applyAlignment="1">
      <x:alignment wrapText="1"/>
    </x:xf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right" vertical="center"/>
    </x:xf>
    <x:xf numFmtId="0" fontId="1" fillId="0" borderId="6" xfId="0" applyFont="1" applyBorder="1" applyAlignment="1">
      <x:alignment vertical="center"/>
    </x:xf>
    <x:xf numFmtId="0" fontId="1" fillId="0" borderId="4" xfId="0" applyFont="1" applyBorder="1"/>
    <x:xf numFmtId="0" fontId="2" fillId="0" borderId="11" xfId="0" applyFont="1" applyBorder="1"/>
    <x:xf numFmtId="0" fontId="3" fillId="0" borderId="0" xfId="0" applyFont="1"/>
    <x:xf numFmtId="0" fontId="3" fillId="0" borderId="0" xfId="0" applyFont="1" applyAlignment="1">
      <x:alignment horizontal="center"/>
    </x:xf>
    <x:xf numFmtId="0" fontId="4" fillId="0" borderId="11" xfId="0" applyFont="1" applyBorder="1" applyAlignment="1">
      <x:alignment horizontal="center"/>
    </x:xf>
    <x:xf numFmtId="0" fontId="2" fillId="0" borderId="2" xfId="0" applyFont="1" applyBorder="1" applyAlignment="1">
      <x:alignment horizontal="left"/>
    </x:xf>
    <x:xf numFmtId="0" fontId="0" fillId="0" borderId="1" xfId="0" applyBorder="1" applyAlignment="1">
      <x:alignment horizontal="left"/>
    </x:xf>
    <x:xf numFmtId="14" fontId="2" fillId="0" borderId="2" xfId="0" applyNumberFormat="1" applyFont="1" applyBorder="1" applyAlignment="1">
      <x:alignment horizontal="center"/>
    </x:xf>
    <x:xf numFmtId="0" fontId="2" fillId="0" borderId="1" xfId="0" applyFont="1" applyBorder="1" applyAlignment="1">
      <x:alignment horizontal="left"/>
    </x:xf>
    <x:xf numFmtId="164" fontId="2" fillId="0" borderId="2" xfId="0" applyNumberFormat="1" applyFont="1" applyBorder="1" applyAlignment="1">
      <x:alignment horizontal="left"/>
    </x:xf>
    <x:xf numFmtId="0" fontId="6" fillId="0" borderId="1" xfId="1" applyFont="1" applyBorder="1" applyAlignment="1">
      <x:alignment horizontal="left"/>
    </x:xf>
    <x:xf numFmtId="0" fontId="1" fillId="0" borderId="11" xfId="0" applyFont="1" applyBorder="1" applyAlignment="1">
      <x:alignment horizontal="center" wrapText="1"/>
    </x:xf>
    <x:xf numFmtId="0" fontId="3" fillId="0" borderId="12" xfId="0" applyFont="1" applyBorder="1" applyAlignment="1">
      <x:alignment horizontal="left" vertical="center"/>
    </x:xf>
    <x:xf numFmtId="14" fontId="3" fillId="0" borderId="0" xfId="0" applyNumberFormat="1" applyFont="1"/>
    <x:xf numFmtId="0" fontId="4" fillId="0" borderId="0" xfId="0" applyFont="1" applyAlignment="1">
      <x:alignment horizontal="center"/>
    </x:xf>
    <x:xf numFmtId="0" fontId="3" fillId="0" borderId="14" xfId="0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9" fillId="4" borderId="11" xfId="0" applyFont="1" applyFill="1" applyBorder="1" applyAlignment="1">
      <x:alignment horizontal="center" vertical="center" wrapText="1"/>
    </x:xf>
    <x:xf numFmtId="0" fontId="9" fillId="3" borderId="13" xfId="0" applyFont="1" applyFill="1" applyBorder="1" applyAlignment="1">
      <x:alignment horizontal="center" vertical="center" wrapText="1"/>
    </x:xf>
    <x:xf numFmtId="0" fontId="9" fillId="3" borderId="11" xfId="0" applyFont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0" fillId="0" borderId="0" xfId="0" applyAlignment="1">
      <x:alignment horizontal="right" vertical="center"/>
    </x:xf>
    <x:xf numFmtId="0" fontId="10" fillId="0" borderId="0" xfId="1" applyFont="1" applyAlignment="1">
      <x:alignment horizontal="center" vertical="center"/>
    </x:xf>
    <x:xf numFmtId="14" fontId="0" fillId="0" borderId="0" xfId="0" applyNumberFormat="1"/>
    <x:xf numFmtId="0" fontId="0" fillId="0" borderId="0" xfId="0"/>
    <x:xf numFmtId="0" fontId="0" fillId="0" borderId="4" xfId="0" applyBorder="1"/>
    <x:xf numFmtId="0" fontId="0" fillId="0" borderId="7" xfId="0" applyBorder="1"/>
    <x:xf numFmtId="0" fontId="0" fillId="0" borderId="6" xfId="0" applyBorder="1"/>
    <x:xf numFmtId="0" fontId="0" fillId="0" borderId="1" xfId="0" applyBorder="1"/>
    <x:xf numFmtId="0" fontId="0" fillId="0" borderId="6" xfId="0" applyBorder="1" applyAlignment="1">
      <x:alignment horizontal="right" vertical="center"/>
    </x:xf>
    <x:xf numFmtId="0" fontId="11" fillId="7" borderId="0" xfId="0" applyFont="1" applyFill="1" applyAlignment="1">
      <x:alignment horizontal="center"/>
    </x:xf>
    <x:xf numFmtId="0" fontId="13" fillId="0" borderId="0" xfId="0" applyFont="1" applyAlignment="1">
      <x:alignment horizontal="center"/>
    </x:xf>
    <x:xf numFmtId="0" fontId="11" fillId="5" borderId="0" xfId="0" applyFont="1" applyFill="1" applyAlignment="1">
      <x:alignment horizontal="center"/>
    </x:xf>
    <x:xf numFmtId="0" fontId="11" fillId="6" borderId="0" xfId="0" applyFont="1" applyFill="1" applyAlignment="1">
      <x:alignment horizontal="center"/>
    </x:xf>
    <x:xf numFmtId="14" fontId="3" fillId="0" borderId="0" xfId="0" applyNumberFormat="1" applyFont="1" applyAlignment="1">
      <x:alignment horizontal="center" vertical="center"/>
    </x:xf>
    <x:xf numFmtId="0" fontId="9" fillId="5" borderId="17" xfId="0" applyFont="1" applyFill="1" applyBorder="1" applyAlignment="1">
      <x:alignment horizontal="center" vertical="center" wrapText="1"/>
    </x:xf>
    <x:xf numFmtId="0" fontId="9" fillId="5" borderId="11" xfId="0" applyFont="1" applyFill="1" applyBorder="1" applyAlignment="1">
      <x:alignment horizontal="center" vertical="center" wrapText="1"/>
    </x:xf>
    <x:xf numFmtId="0" fontId="9" fillId="5" borderId="0" xfId="0" applyFont="1" applyFill="1" applyAlignment="1">
      <x:alignment horizontal="center" vertical="center" wrapText="1"/>
    </x:xf>
    <x:xf numFmtId="0" fontId="9" fillId="6" borderId="0" xfId="0" applyFont="1" applyFill="1" applyAlignment="1">
      <x:alignment horizontal="center" vertical="center" wrapText="1"/>
    </x:xf>
    <x:xf numFmtId="0" fontId="9" fillId="7" borderId="17" xfId="0" applyFont="1" applyFill="1" applyBorder="1" applyAlignment="1">
      <x:alignment horizontal="center" vertical="center" wrapText="1"/>
    </x:xf>
    <x:xf numFmtId="0" fontId="9" fillId="7" borderId="0" xfId="0" applyFont="1" applyFill="1" applyAlignment="1">
      <x:alignment horizontal="center" vertical="center" wrapText="1"/>
    </x:xf>
    <x:xf numFmtId="0" fontId="8" fillId="0" borderId="0" xfId="0" applyFont="1"/>
    <x:xf numFmtId="0" fontId="8" fillId="0" borderId="4" xfId="0" applyFont="1" applyBorder="1"/>
    <x:xf numFmtId="0" fontId="8" fillId="0" borderId="5" xfId="0" applyFont="1" applyBorder="1"/>
    <x:xf numFmtId="0" fontId="8" fillId="0" borderId="6" xfId="0" applyFont="1" applyBorder="1"/>
    <x:xf numFmtId="0" fontId="8" fillId="0" borderId="0" xfId="0" applyFont="1" applyBorder="1"/>
    <x:xf numFmtId="0" fontId="8" fillId="0" borderId="0" xfId="0" applyFont="1" applyBorder="1" applyAlignment="1"/>
    <x:xf numFmtId="0" fontId="8" fillId="0" borderId="7" xfId="0" applyFont="1" applyBorder="1"/>
    <x:xf numFmtId="0" fontId="8" fillId="0" borderId="8" xfId="0" applyFont="1" applyBorder="1"/>
    <x:xf numFmtId="0" fontId="8" fillId="0" borderId="9" xfId="0" applyFont="1" applyBorder="1"/>
    <x:xf numFmtId="0" fontId="8" fillId="0" borderId="10" xfId="0" applyFont="1" applyBorder="1"/>
    <x:xf numFmtId="0" fontId="8" fillId="0" borderId="4" xfId="0" applyFont="1" applyBorder="1"/>
    <x:xf numFmtId="0" fontId="8" fillId="0" borderId="0" xfId="0" applyFont="1" applyBorder="1" applyAlignment="1">
      <x:alignment horizontal="right" vertical="center"/>
    </x:xf>
    <x:xf numFmtId="0" fontId="14" fillId="2" borderId="18" xfId="0" applyFont="1" applyFill="1" applyBorder="1" applyAlignment="1">
      <x:alignment horizontal="center"/>
    </x:xf>
    <x:xf numFmtId="0" fontId="15" fillId="0" borderId="0" xfId="0" applyFont="1" applyBorder="1"/>
    <x:xf numFmtId="0" fontId="8" fillId="0" borderId="0" xfId="0" applyFont="1" applyBorder="1"/>
    <x:xf numFmtId="0" fontId="8" fillId="0" borderId="6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/>
    </x:xf>
    <x:xf numFmtId="0" fontId="8" fillId="0" borderId="0" xfId="0" applyFont="1" applyBorder="1" applyAlignment="1">
      <x:alignment vertical="center" wrapText="1"/>
    </x:xf>
    <x:xf numFmtId="0" fontId="8" fillId="0" borderId="1" xfId="0" applyFont="1" applyBorder="1" applyAlignment="1">
      <x:alignment horizontal="right"/>
    </x:xf>
    <x:xf numFmtId="0" fontId="8" fillId="0" borderId="1" xfId="0" applyFont="1" applyBorder="1"/>
    <x:xf numFmtId="0" fontId="8" fillId="0" borderId="6" xfId="0" applyFont="1" applyBorder="1" applyAlignment="1">
      <x:alignment wrapText="1"/>
    </x:xf>
    <x:xf numFmtId="0" fontId="8" fillId="0" borderId="0" xfId="0" applyFont="1" applyBorder="1" applyAlignment="1">
      <x:alignment wrapText="1"/>
    </x:xf>
    <x:xf numFmtId="0" fontId="3" fillId="0" borderId="4" xfId="0" applyFont="1" applyBorder="1"/>
    <x:xf numFmtId="0" fontId="3" fillId="0" borderId="6" xfId="0" applyFont="1" applyBorder="1"/>
    <x:xf numFmtId="0" fontId="3" fillId="0" borderId="0" xfId="0" applyFont="1" applyBorder="1"/>
    <x:xf numFmtId="0" fontId="3" fillId="0" borderId="0" xfId="0" applyFont="1" applyBorder="1" applyAlignment="1">
      <x:alignment vertical="center"/>
    </x:xf>
    <x:xf numFmtId="0" fontId="3" fillId="0" borderId="8" xfId="0" applyFont="1" applyBorder="1"/>
    <x:xf numFmtId="0" fontId="3" fillId="0" borderId="9" xfId="0" applyFont="1" applyBorder="1"/>
    <x:xf numFmtId="0" fontId="3" fillId="0" borderId="1" xfId="0" applyFont="1" applyBorder="1" applyAlignment="1">
      <x:alignment horizontal="right"/>
    </x:xf>
    <x:xf numFmtId="0" fontId="3" fillId="0" borderId="1" xfId="0" applyFont="1" applyBorder="1"/>
    <x:xf numFmtId="0" fontId="17" fillId="0" borderId="0" xfId="0" applyFont="1" applyBorder="1" applyAlignment="1"/>
    <x:xf numFmtId="0" fontId="18" fillId="0" borderId="0" xfId="0" applyFont="1" applyBorder="1"/>
    <x:xf numFmtId="0" fontId="16" fillId="0" borderId="3" xfId="0" applyFont="1" applyBorder="1" applyAlignment="1"/>
    <x:xf numFmtId="0" fontId="16" fillId="0" borderId="4" xfId="0" applyFont="1" applyBorder="1" applyAlignment="1"/>
    <x:xf numFmtId="0" fontId="16" fillId="0" borderId="6" xfId="0" applyFont="1" applyBorder="1" applyAlignment="1"/>
    <x:xf numFmtId="0" fontId="16" fillId="0" borderId="0" xfId="0" applyFont="1" applyBorder="1" applyAlignment="1"/>
    <x:xf numFmtId="0" fontId="16" fillId="0" borderId="8" xfId="0" applyFont="1" applyBorder="1" applyAlignment="1"/>
    <x:xf numFmtId="0" fontId="16" fillId="0" borderId="9" xfId="0" applyFont="1" applyBorder="1" applyAlignment="1"/>
    <x:xf numFmtId="0" fontId="4" fillId="0" borderId="0" xfId="0" applyFont="1" applyBorder="1" applyAlignment="1">
      <x:alignment horizontal="left" vertical="center"/>
    </x:xf>
    <x:xf numFmtId="0" fontId="3" fillId="0" borderId="0" xfId="0" applyFont="1" applyBorder="1" applyAlignment="1"/>
    <x:xf numFmtId="0" fontId="12" fillId="8" borderId="0" xfId="0" applyFont="1" applyFill="1" applyAlignment="1">
      <x:alignment horizontal="center"/>
    </x:xf>
    <x:xf numFmtId="0" fontId="0" fillId="0" borderId="0" xfId="0"/>
    <x:xf numFmtId="0" fontId="4" fillId="0" borderId="3" xfId="0" applyFont="1" applyBorder="1" applyAlignment="1">
      <x:alignment horizontal="center" vertical="center"/>
    </x:xf>
    <x:xf numFmtId="0" fontId="8" fillId="0" borderId="4" xfId="0" applyFont="1" applyBorder="1"/>
    <x:xf numFmtId="0" fontId="18" fillId="0" borderId="6" xfId="0" applyFont="1" applyBorder="1" applyAlignment="1">
      <x:alignment horizontal="right" vertical="center"/>
    </x:xf>
    <x:xf numFmtId="0" fontId="18" fillId="0" borderId="0" xfId="0" applyFont="1" applyBorder="1"/>
    <x:xf numFmtId="14" fontId="8" fillId="0" borderId="1" xfId="0" applyNumberFormat="1" applyFont="1" applyBorder="1" applyAlignment="1">
      <x:alignment horizontal="center" vertical="center"/>
    </x:xf>
    <x:xf numFmtId="0" fontId="8" fillId="0" borderId="1" xfId="0" applyFont="1" applyBorder="1"/>
    <x:xf numFmtId="0" fontId="16" fillId="0" borderId="0" xfId="0" applyFont="1" applyBorder="1" applyAlignment="1">
      <x:alignment horizontal="center"/>
    </x:xf>
    <x:xf numFmtId="0" fontId="3" fillId="0" borderId="6" xfId="0" applyFont="1" applyBorder="1" applyAlignment="1">
      <x:alignment horizontal="justify" vertical="center" wrapText="1"/>
    </x:xf>
    <x:xf numFmtId="0" fontId="3" fillId="0" borderId="0" xfId="0" applyFont="1" applyBorder="1" applyAlignment="1">
      <x:alignment horizontal="justify" vertical="center" wrapText="1"/>
    </x:xf>
    <x:xf numFmtId="0" fontId="3" fillId="0" borderId="7" xfId="0" applyFont="1" applyBorder="1" applyAlignment="1">
      <x:alignment horizontal="justify" vertical="center" wrapText="1"/>
    </x:xf>
    <x:xf numFmtId="0" fontId="3" fillId="0" borderId="6" xfId="0" applyFont="1" applyBorder="1" applyAlignment="1">
      <x:alignment horizontal="right" vertical="center"/>
    </x:xf>
    <x:xf numFmtId="0" fontId="8" fillId="0" borderId="0" xfId="0" applyFont="1" applyBorder="1"/>
    <x:xf numFmtId="0" fontId="4" fillId="0" borderId="3" xfId="0" applyFont="1" applyBorder="1" applyAlignment="1">
      <x:alignment horizontal="left" vertical="center" wrapText="1"/>
    </x:xf>
    <x:xf numFmtId="0" fontId="8" fillId="0" borderId="4" xfId="0" applyFont="1" applyBorder="1" applyAlignment="1">
      <x:alignment horizontal="left"/>
    </x:xf>
    <x:xf numFmtId="0" fontId="3" fillId="0" borderId="6" xfId="0" applyFont="1" applyBorder="1" applyAlignment="1">
      <x:alignment horizontal="right" vertical="center" wrapText="1"/>
    </x:xf>
    <x:xf numFmtId="0" fontId="3" fillId="0" borderId="0" xfId="0" applyFont="1" applyBorder="1" applyAlignment="1">
      <x:alignment horizontal="center"/>
    </x:xf>
    <x:xf numFmtId="0" fontId="4" fillId="0" borderId="0" xfId="0" applyFont="1" applyBorder="1" applyAlignment="1">
      <x:alignment horizontal="right"/>
    </x:xf>
    <x:xf numFmtId="0" fontId="8" fillId="0" borderId="0" xfId="0" applyFont="1" applyBorder="1" applyAlignment="1">
      <x:alignment horizontal="center"/>
    </x:xf>
    <x:xf numFmtId="0" fontId="8" fillId="0" borderId="7" xfId="0" applyFont="1" applyBorder="1" applyAlignment="1">
      <x:alignment horizontal="center"/>
    </x:xf>
    <x:xf numFmtId="0" fontId="4" fillId="0" borderId="0" xfId="0" applyFont="1" applyBorder="1" applyAlignment="1">
      <x:alignment horizontal="center" vertical="center"/>
    </x:xf>
    <x:xf numFmtId="0" fontId="16" fillId="0" borderId="3" xfId="0" applyFont="1" applyBorder="1" applyAlignment="1">
      <x:alignment horizontal="left"/>
    </x:xf>
    <x:xf numFmtId="0" fontId="16" fillId="0" borderId="4" xfId="0" applyFont="1" applyBorder="1" applyAlignment="1">
      <x:alignment horizontal="left"/>
    </x:xf>
    <x:xf numFmtId="0" fontId="8" fillId="0" borderId="0" xfId="0" applyFont="1" applyBorder="1" applyAlignment="1">
      <x:alignment horizontal="left" vertical="center" wrapText="1"/>
    </x:xf>
    <x:xf numFmtId="0" fontId="18" fillId="0" borderId="6" xfId="0" applyFont="1" applyBorder="1" applyAlignment="1">
      <x:alignment horizontal="right" wrapText="1"/>
    </x:xf>
    <x:xf numFmtId="0" fontId="2" fillId="0" borderId="16" xfId="0" applyFont="1" applyBorder="1" applyAlignment="1">
      <x:alignment horizontal="center" vertical="center" wrapText="1"/>
    </x:xf>
    <x:xf numFmtId="0" fontId="0" fillId="0" borderId="7" xfId="0" applyBorder="1"/>
    <x:xf numFmtId="0" fontId="0" fillId="0" borderId="6" xfId="0" applyBorder="1"/>
    <x:xf numFmtId="0" fontId="0" fillId="0" borderId="6" xfId="0" applyBorder="1" applyAlignment="1">
      <x:alignment horizontal="right" wrapText="1"/>
    </x:xf>
    <x:xf numFmtId="0" fontId="7" fillId="0" borderId="3" xfId="0" applyFont="1" applyBorder="1" applyAlignment="1">
      <x:alignment horizontal="center" vertical="center"/>
    </x:xf>
    <x:xf numFmtId="0" fontId="0" fillId="0" borderId="4" xfId="0" applyBorder="1"/>
    <x:xf numFmtId="0" fontId="1" fillId="0" borderId="12" xfId="0" applyFont="1" applyBorder="1" applyAlignment="1">
      <x:alignment horizontal="right" vertical="center" wrapText="1"/>
    </x:xf>
    <x:xf numFmtId="0" fontId="1" fillId="0" borderId="3" xfId="0" applyFon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0" fillId="0" borderId="1" xfId="0" applyBorder="1"/>
    <x:xf numFmtId="0" fontId="0" fillId="0" borderId="11" xfId="0" applyBorder="1" applyAlignment="1">
      <x:alignment vertical="center"/>
    </x:xf>
    <x:xf numFmtId="0" fontId="0" fillId="0" borderId="13" xfId="0" applyBorder="1"/>
    <x:xf numFmtId="0" fontId="2" fillId="0" borderId="6" xfId="0" applyFont="1" applyBorder="1" applyAlignment="1">
      <x:alignment horizontal="right" vertical="center"/>
    </x:xf>
    <x:xf numFmtId="0" fontId="0" fillId="0" borderId="0" xfId="0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 wrapText="1"/>
    </x:xf>
    <x:xf numFmtId="0" fontId="0" fillId="0" borderId="6" xfId="0" applyBorder="1" applyAlignment="1">
      <x:alignment horizontal="right" vertical="center"/>
    </x:xf>
    <x:xf numFmtId="0" fontId="1" fillId="0" borderId="3" xfId="0" applyFont="1" applyBorder="1" applyAlignment="1">
      <x:alignment horizontal="center" vertical="center"/>
    </x:xf>
    <x:xf numFmtId="0" fontId="1" fillId="0" borderId="0" xfId="0" applyFont="1" applyAlignment="1">
      <x:alignment horizontal="right" vertical="center" wrapText="1"/>
    </x:xf>
    <x:xf numFmtId="0" fontId="2" fillId="0" borderId="6" xfId="0" applyFont="1" applyBorder="1" applyAlignment="1">
      <x:alignment horizontal="right" vertical="center"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 applyAlignment="1">
      <x:alignment horizontal="right"/>
    </x:xf>
    <x:xf numFmtId="0" fontId="0" fillId="0" borderId="21" xfId="0" applyNumberFormat="1" applyFont="1" applyFill="1" applyBorder="1"/>
    <x:xf numFmtId="0" fontId="0" fillId="0" borderId="19" xfId="0" applyNumberFormat="1" applyFont="1" applyFill="1" applyBorder="1" applyAlignment="1">
      <x:alignment horizontal="right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21" xfId="0" applyNumberFormat="1" applyFont="1" applyFill="1" applyBorder="1"/>
    <x:xf numFmtId="0" fontId="2" fillId="0" borderId="26" xfId="0" applyNumberFormat="1" applyFont="1" applyFill="1" applyBorder="1"/>
    <x:xf numFmtId="0" fontId="2" fillId="0" borderId="27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4" xfId="0" applyNumberFormat="1" applyFont="1" applyFill="1" applyBorder="1"/>
    <x:xf numFmtId="0" fontId="2" fillId="0" borderId="19" xfId="0" applyNumberFormat="1" applyFont="1" applyFill="1" applyBorder="1"/>
    <x:xf numFmtId="0" fontId="2" fillId="0" borderId="19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2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right"/>
    </x:xf>
    <x:xf numFmtId="0" fontId="2" fillId="0" borderId="19" xfId="0" applyNumberFormat="1" applyFont="1" applyFill="1" applyBorder="1" applyAlignment="1">
      <x:alignment horizontal="right" vertical="center"/>
    </x:xf>
    <x:xf numFmtId="0" fontId="1" fillId="0" borderId="26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/>
    <x:xf numFmtId="0" fontId="2" fillId="0" borderId="28" xfId="0" applyNumberFormat="1" applyFont="1" applyFill="1" applyBorder="1"/>
    <x:xf numFmtId="0" fontId="3" fillId="0" borderId="19" xfId="0" applyNumberFormat="1" applyFont="1" applyFill="1" applyBorder="1"/>
    <x:xf numFmtId="0" fontId="3" fillId="0" borderId="19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2" fillId="0" borderId="29" xfId="0" applyNumberFormat="1" applyFont="1" applyFill="1" applyBorder="1" applyAlignment="1">
      <x:alignment horizontal="left"/>
    </x:xf>
    <x:xf numFmtId="0" fontId="0" fillId="0" borderId="20" xfId="0" applyNumberFormat="1" applyFont="1" applyFill="1" applyBorder="1" applyAlignment="1">
      <x:alignment horizontal="left"/>
    </x:xf>
    <x:xf numFmtId="14" fontId="2" fillId="0" borderId="29" xfId="0" applyNumberFormat="1" applyFont="1" applyFill="1" applyBorder="1" applyAlignment="1">
      <x:alignment horizontal="center"/>
    </x:xf>
    <x:xf numFmtId="0" fontId="2" fillId="0" borderId="20" xfId="0" applyNumberFormat="1" applyFont="1" applyFill="1" applyBorder="1" applyAlignment="1">
      <x:alignment horizontal="left"/>
    </x:xf>
    <x:xf numFmtId="164" fontId="2" fillId="0" borderId="29" xfId="0" applyNumberFormat="1" applyFont="1" applyFill="1" applyBorder="1" applyAlignment="1">
      <x:alignment horizontal="left"/>
    </x:xf>
    <x:xf numFmtId="0" fontId="6" fillId="0" borderId="20" xfId="0" applyNumberFormat="1" applyFont="1" applyFill="1" applyBorder="1" applyAlignment="1">
      <x:alignment horizontal="left"/>
    </x:xf>
    <x:xf numFmtId="0" fontId="1" fillId="0" borderId="28" xfId="0" applyNumberFormat="1" applyFont="1" applyFill="1" applyBorder="1" applyAlignment="1">
      <x:alignment horizontal="center" wrapText="1"/>
    </x:xf>
    <x:xf numFmtId="0" fontId="3" fillId="0" borderId="30" xfId="0" applyNumberFormat="1" applyFont="1" applyFill="1" applyBorder="1" applyAlignment="1">
      <x:alignment horizontal="left" vertical="center"/>
    </x:xf>
    <x:xf numFmtId="14" fontId="3" fillId="0" borderId="19" xfId="0" applyNumberFormat="1" applyFont="1" applyFill="1" applyBorder="1"/>
    <x:xf numFmtId="0" fontId="4" fillId="0" borderId="19" xfId="0" applyNumberFormat="1" applyFont="1" applyFill="1" applyBorder="1" applyAlignment="1">
      <x:alignment horizontal="center"/>
    </x:xf>
    <x:xf numFmtId="0" fontId="3" fillId="0" borderId="31" xfId="0" applyNumberFormat="1" applyFont="1" applyFill="1" applyBorder="1" applyAlignment="1">
      <x:alignment horizontal="left" vertical="center"/>
    </x:xf>
    <x:xf numFmtId="0" fontId="3" fillId="0" borderId="19" xfId="0" applyNumberFormat="1" applyFont="1" applyFill="1" applyBorder="1" applyAlignment="1">
      <x:alignment horizontal="left" vertical="center"/>
    </x:xf>
    <x:xf numFmtId="0" fontId="3" fillId="0" borderId="19" xfId="0" applyNumberFormat="1" applyFont="1" applyFill="1" applyBorder="1" applyAlignment="1">
      <x:alignment horizontal="center" vertical="center"/>
    </x:xf>
    <x:xf numFmtId="0" fontId="3" fillId="0" borderId="32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9" fillId="4" borderId="28" xfId="0" applyNumberFormat="1" applyFont="1" applyFill="1" applyBorder="1" applyAlignment="1">
      <x:alignment horizontal="center" vertical="center" wrapText="1"/>
    </x:xf>
    <x:xf numFmtId="0" fontId="9" fillId="3" borderId="33" xfId="0" applyNumberFormat="1" applyFont="1" applyFill="1" applyBorder="1" applyAlignment="1">
      <x:alignment horizontal="center" vertical="center" wrapText="1"/>
    </x:xf>
    <x:xf numFmtId="0" fontId="9" fillId="3" borderId="28" xfId="0" applyNumberFormat="1" applyFont="1" applyFill="1" applyBorder="1" applyAlignment="1">
      <x:alignment horizontal="center" vertical="center" wrapText="1"/>
    </x:xf>
    <x:xf numFmtId="0" fontId="8" fillId="0" borderId="19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right" vertical="center"/>
    </x:xf>
    <x:xf numFmtId="0" fontId="10" fillId="0" borderId="19" xfId="0" applyNumberFormat="1" applyFont="1" applyFill="1" applyBorder="1" applyAlignment="1">
      <x:alignment horizontal="center" vertical="center"/>
    </x:xf>
    <x:xf numFmtId="14" fontId="0" fillId="0" borderId="19" xfId="0" applyNumberFormat="1" applyFont="1" applyFill="1" applyBorder="1"/>
    <x:xf numFmtId="0" fontId="0" fillId="0" borderId="25" xfId="0" applyNumberFormat="1" applyFont="1" applyFill="1" applyBorder="1"/>
    <x:xf numFmtId="0" fontId="0" fillId="0" borderId="27" xfId="0" applyNumberFormat="1" applyFont="1" applyFill="1" applyBorder="1"/>
    <x:xf numFmtId="0" fontId="0" fillId="0" borderId="26" xfId="0" applyNumberFormat="1" applyFont="1" applyFill="1" applyBorder="1"/>
    <x:xf numFmtId="0" fontId="0" fillId="0" borderId="20" xfId="0" applyNumberFormat="1" applyFont="1" applyFill="1" applyBorder="1"/>
    <x:xf numFmtId="0" fontId="0" fillId="0" borderId="26" xfId="0" applyNumberFormat="1" applyFont="1" applyFill="1" applyBorder="1" applyAlignment="1">
      <x:alignment horizontal="right" vertical="center"/>
    </x:xf>
    <x:xf numFmtId="0" fontId="11" fillId="7" borderId="19" xfId="0" applyNumberFormat="1" applyFont="1" applyFill="1" applyBorder="1" applyAlignment="1">
      <x:alignment horizontal="center"/>
    </x:xf>
    <x:xf numFmtId="0" fontId="13" fillId="0" borderId="19" xfId="0" applyNumberFormat="1" applyFont="1" applyFill="1" applyBorder="1" applyAlignment="1">
      <x:alignment horizontal="center"/>
    </x:xf>
    <x:xf numFmtId="0" fontId="11" fillId="5" borderId="19" xfId="0" applyNumberFormat="1" applyFont="1" applyFill="1" applyBorder="1" applyAlignment="1">
      <x:alignment horizontal="center"/>
    </x:xf>
    <x:xf numFmtId="0" fontId="11" fillId="6" borderId="19" xfId="0" applyNumberFormat="1" applyFont="1" applyFill="1" applyBorder="1" applyAlignment="1">
      <x:alignment horizontal="center"/>
    </x:xf>
    <x:xf numFmtId="14" fontId="3" fillId="0" borderId="19" xfId="0" applyNumberFormat="1" applyFont="1" applyFill="1" applyBorder="1" applyAlignment="1">
      <x:alignment horizontal="center" vertical="center"/>
    </x:xf>
    <x:xf numFmtId="0" fontId="9" fillId="5" borderId="34" xfId="0" applyNumberFormat="1" applyFont="1" applyFill="1" applyBorder="1" applyAlignment="1">
      <x:alignment horizontal="center" vertical="center" wrapText="1"/>
    </x:xf>
    <x:xf numFmtId="0" fontId="9" fillId="5" borderId="28" xfId="0" applyNumberFormat="1" applyFont="1" applyFill="1" applyBorder="1" applyAlignment="1">
      <x:alignment horizontal="center" vertical="center" wrapText="1"/>
    </x:xf>
    <x:xf numFmtId="0" fontId="9" fillId="5" borderId="19" xfId="0" applyNumberFormat="1" applyFont="1" applyFill="1" applyBorder="1" applyAlignment="1">
      <x:alignment horizontal="center" vertical="center" wrapText="1"/>
    </x:xf>
    <x:xf numFmtId="0" fontId="9" fillId="6" borderId="19" xfId="0" applyNumberFormat="1" applyFont="1" applyFill="1" applyBorder="1" applyAlignment="1">
      <x:alignment horizontal="center" vertical="center" wrapText="1"/>
    </x:xf>
    <x:xf numFmtId="0" fontId="9" fillId="7" borderId="34" xfId="0" applyNumberFormat="1" applyFont="1" applyFill="1" applyBorder="1" applyAlignment="1">
      <x:alignment horizontal="center" vertical="center" wrapText="1"/>
    </x:xf>
    <x:xf numFmtId="0" fontId="9" fillId="7" borderId="19" xfId="0" applyNumberFormat="1" applyFont="1" applyFill="1" applyBorder="1" applyAlignment="1">
      <x:alignment horizontal="center" vertical="center" wrapText="1"/>
    </x:xf>
    <x:xf numFmtId="0" fontId="8" fillId="0" borderId="19" xfId="0" applyNumberFormat="1" applyFont="1" applyFill="1" applyBorder="1"/>
    <x:xf numFmtId="0" fontId="8" fillId="0" borderId="25" xfId="0" applyNumberFormat="1" applyFont="1" applyFill="1" applyBorder="1"/>
    <x:xf numFmtId="0" fontId="8" fillId="0" borderId="21" xfId="0" applyNumberFormat="1" applyFont="1" applyFill="1" applyBorder="1"/>
    <x:xf numFmtId="0" fontId="8" fillId="0" borderId="26" xfId="0" applyNumberFormat="1" applyFont="1" applyFill="1" applyBorder="1"/>
    <x:xf numFmtId="0" fontId="8" fillId="0" borderId="27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24" xfId="0" applyNumberFormat="1" applyFont="1" applyFill="1" applyBorder="1"/>
    <x:xf numFmtId="0" fontId="8" fillId="0" borderId="19" xfId="0" applyNumberFormat="1" applyFont="1" applyFill="1" applyBorder="1" applyAlignment="1">
      <x:alignment horizontal="right" vertical="center"/>
    </x:xf>
    <x:xf numFmtId="0" fontId="14" fillId="2" borderId="35" xfId="0" applyNumberFormat="1" applyFont="1" applyFill="1" applyBorder="1" applyAlignment="1">
      <x:alignment horizontal="center"/>
    </x:xf>
    <x:xf numFmtId="0" fontId="15" fillId="0" borderId="19" xfId="0" applyNumberFormat="1" applyFont="1" applyFill="1" applyBorder="1"/>
    <x:xf numFmtId="0" fontId="8" fillId="0" borderId="26" xfId="0" applyNumberFormat="1" applyFont="1" applyFill="1" applyBorder="1" applyAlignment="1">
      <x:alignment horizontal="right" vertical="center"/>
    </x:xf>
    <x:xf numFmtId="0" fontId="8" fillId="0" borderId="19" xfId="0" applyNumberFormat="1" applyFont="1" applyFill="1" applyBorder="1" applyAlignment="1">
      <x:alignment horizontal="right"/>
    </x:xf>
    <x:xf numFmtId="0" fontId="8" fillId="0" borderId="19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horizontal="right"/>
    </x:xf>
    <x:xf numFmtId="0" fontId="8" fillId="0" borderId="20" xfId="0" applyNumberFormat="1" applyFont="1" applyFill="1" applyBorder="1"/>
    <x:xf numFmtId="0" fontId="8" fillId="0" borderId="26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3" fillId="0" borderId="25" xfId="0" applyNumberFormat="1" applyFont="1" applyFill="1" applyBorder="1"/>
    <x:xf numFmtId="0" fontId="3" fillId="0" borderId="26" xfId="0" applyNumberFormat="1" applyFont="1" applyFill="1" applyBorder="1"/>
    <x:xf numFmtId="0" fontId="3" fillId="0" borderId="19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20" xfId="0" applyNumberFormat="1" applyFont="1" applyFill="1" applyBorder="1" applyAlignment="1">
      <x:alignment horizontal="right"/>
    </x:xf>
    <x:xf numFmtId="0" fontId="3" fillId="0" borderId="20" xfId="0" applyNumberFormat="1" applyFont="1" applyFill="1" applyBorder="1"/>
    <x:xf numFmtId="0" fontId="17" fillId="0" borderId="19" xfId="0" applyNumberFormat="1" applyFont="1" applyFill="1" applyBorder="1"/>
    <x:xf numFmtId="0" fontId="18" fillId="0" borderId="19" xfId="0" applyNumberFormat="1" applyFont="1" applyFill="1" applyBorder="1"/>
    <x:xf numFmtId="0" fontId="16" fillId="0" borderId="36" xfId="0" applyNumberFormat="1" applyFont="1" applyFill="1" applyBorder="1"/>
    <x:xf numFmtId="0" fontId="16" fillId="0" borderId="25" xfId="0" applyNumberFormat="1" applyFont="1" applyFill="1" applyBorder="1"/>
    <x:xf numFmtId="0" fontId="16" fillId="0" borderId="26" xfId="0" applyNumberFormat="1" applyFont="1" applyFill="1" applyBorder="1"/>
    <x:xf numFmtId="0" fontId="16" fillId="0" borderId="19" xfId="0" applyNumberFormat="1" applyFont="1" applyFill="1" applyBorder="1"/>
    <x:xf numFmtId="0" fontId="16" fillId="0" borderId="22" xfId="0" applyNumberFormat="1" applyFont="1" applyFill="1" applyBorder="1"/>
    <x:xf numFmtId="0" fontId="16" fillId="0" borderId="23" xfId="0" applyNumberFormat="1" applyFont="1" applyFill="1" applyBorder="1"/>
    <x:xf numFmtId="0" fontId="4" fillId="0" borderId="19" xfId="0" applyNumberFormat="1" applyFont="1" applyFill="1" applyBorder="1" applyAlignment="1">
      <x:alignment horizontal="left" vertical="center"/>
    </x:xf>
    <x:xf numFmtId="0" fontId="12" fillId="8" borderId="19" xfId="0" applyNumberFormat="1" applyFont="1" applyFill="1" applyBorder="1" applyAlignment="1">
      <x:alignment horizont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18" fillId="0" borderId="26" xfId="0" applyNumberFormat="1" applyFont="1" applyFill="1" applyBorder="1" applyAlignment="1">
      <x:alignment horizontal="right" vertical="center"/>
    </x:xf>
    <x:xf numFmtId="14" fontId="8" fillId="0" borderId="20" xfId="0" applyNumberFormat="1" applyFont="1" applyFill="1" applyBorder="1" applyAlignment="1">
      <x:alignment horizontal="center" vertical="center"/>
    </x:xf>
    <x:xf numFmtId="0" fontId="16" fillId="0" borderId="19" xfId="0" applyNumberFormat="1" applyFont="1" applyFill="1" applyBorder="1" applyAlignment="1">
      <x:alignment horizontal="center"/>
    </x:xf>
    <x:xf numFmtId="0" fontId="3" fillId="0" borderId="26" xfId="0" applyNumberFormat="1" applyFont="1" applyFill="1" applyBorder="1" applyAlignment="1">
      <x:alignment horizontal="justify" vertical="center" wrapText="1"/>
    </x:xf>
    <x:xf numFmtId="0" fontId="3" fillId="0" borderId="19" xfId="0" applyNumberFormat="1" applyFont="1" applyFill="1" applyBorder="1" applyAlignment="1">
      <x:alignment horizontal="justify" vertical="center" wrapText="1"/>
    </x:xf>
    <x:xf numFmtId="0" fontId="3" fillId="0" borderId="27" xfId="0" applyNumberFormat="1" applyFont="1" applyFill="1" applyBorder="1" applyAlignment="1">
      <x:alignment horizontal="justify" vertical="center" wrapText="1"/>
    </x:xf>
    <x:xf numFmtId="0" fontId="3" fillId="0" borderId="26" xfId="0" applyNumberFormat="1" applyFont="1" applyFill="1" applyBorder="1" applyAlignment="1">
      <x:alignment horizontal="right" vertical="center"/>
    </x:xf>
    <x:xf numFmtId="0" fontId="4" fillId="0" borderId="36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left"/>
    </x:xf>
    <x:xf numFmtId="0" fontId="3" fillId="0" borderId="26" xfId="0" applyNumberFormat="1" applyFont="1" applyFill="1" applyBorder="1" applyAlignment="1">
      <x:alignment horizontal="right" vertical="center" wrapText="1"/>
    </x:xf>
    <x:xf numFmtId="0" fontId="4" fillId="0" borderId="19" xfId="0" applyNumberFormat="1" applyFont="1" applyFill="1" applyBorder="1" applyAlignment="1">
      <x:alignment horizontal="right"/>
    </x:xf>
    <x:xf numFmtId="0" fontId="8" fillId="0" borderId="19" xfId="0" applyNumberFormat="1" applyFont="1" applyFill="1" applyBorder="1" applyAlignment="1">
      <x:alignment horizontal="center"/>
    </x:xf>
    <x:xf numFmtId="0" fontId="8" fillId="0" borderId="27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16" fillId="0" borderId="36" xfId="0" applyNumberFormat="1" applyFont="1" applyFill="1" applyBorder="1" applyAlignment="1">
      <x:alignment horizontal="left"/>
    </x:xf>
    <x:xf numFmtId="0" fontId="16" fillId="0" borderId="25" xfId="0" applyNumberFormat="1" applyFont="1" applyFill="1" applyBorder="1" applyAlignment="1">
      <x:alignment horizontal="left"/>
    </x:xf>
    <x:xf numFmtId="0" fontId="8" fillId="0" borderId="19" xfId="0" applyNumberFormat="1" applyFont="1" applyFill="1" applyBorder="1" applyAlignment="1">
      <x:alignment horizontal="left" vertical="center" wrapText="1"/>
    </x:xf>
    <x:xf numFmtId="0" fontId="18" fillId="0" borderId="26" xfId="0" applyNumberFormat="1" applyFont="1" applyFill="1" applyBorder="1" applyAlignment="1">
      <x:alignment horizontal="right" wrapText="1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horizontal="right" wrapText="1"/>
    </x:xf>
    <x:xf numFmtId="0" fontId="7" fillId="0" borderId="36" xfId="0" applyNumberFormat="1" applyFont="1" applyFill="1" applyBorder="1" applyAlignment="1">
      <x:alignment horizontal="center" vertical="center"/>
    </x:xf>
    <x:xf numFmtId="0" fontId="1" fillId="0" borderId="30" xfId="0" applyNumberFormat="1" applyFont="1" applyFill="1" applyBorder="1" applyAlignment="1">
      <x:alignment horizontal="right" vertical="center" wrapText="1"/>
    </x:xf>
    <x:xf numFmtId="0" fontId="1" fillId="0" borderId="36" xfId="0" applyNumberFormat="1" applyFont="1" applyFill="1" applyBorder="1" applyAlignment="1">
      <x:alignment horizontal="center"/>
    </x:xf>
    <x:xf numFmtId="0" fontId="2" fillId="0" borderId="20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/>
    <x:xf numFmtId="0" fontId="2" fillId="0" borderId="26" xfId="0" applyNumberFormat="1" applyFont="1" applyFill="1" applyBorder="1" applyAlignment="1">
      <x:alignment horizontal="right" vertical="center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/>
    </x:xf>
    <x:xf numFmtId="0" fontId="1" fillId="0" borderId="36" xfId="0" applyNumberFormat="1" applyFont="1" applyFill="1" applyBorder="1" applyAlignment="1">
      <x:alignment horizontal="center" vertical="center" wrapText="1"/>
    </x:xf>
    <x:xf numFmtId="0" fontId="1" fillId="0" borderId="36" xfId="0" applyNumberFormat="1" applyFont="1" applyFill="1" applyBorder="1" applyAlignment="1">
      <x:alignment horizontal="center" vertical="center"/>
    </x:xf>
    <x:xf numFmtId="0" fontId="1" fillId="0" borderId="19" xfId="0" applyNumberFormat="1" applyFont="1" applyFill="1" applyBorder="1" applyAlignment="1">
      <x:alignment horizontal="right" vertical="center" wrapText="1"/>
    </x:xf>
    <x:xf numFmtId="0" fontId="2" fillId="0" borderId="26" xfId="0" applyNumberFormat="1" applyFont="1" applyFill="1" applyBorder="1" applyAlignment="1">
      <x:alignment horizontal="right" vertical="center" wrapText="1"/>
    </x:xf>
    <x:xf numFmtId="200" fontId="8" fillId="0" borderId="1" xfId="0" applyNumberFormat="1" applyFont="1" applyFill="1" applyBorder="1" applyAlignment="1">
      <x:alignment horizontal="center" vertical="center"/>
    </x:xf>
    <x:xf numFmtId="200" fontId="8" fillId="0" borderId="1" xfId="0" applyNumberFormat="1" applyFont="1" applyFill="1" applyBorder="1"/>
    <x:xf numFmtId="200" fontId="8" fillId="0" borderId="20" xfId="0" applyNumberFormat="1" applyFont="1" applyFill="1" applyBorder="1" applyAlignment="1">
      <x:alignment horizontal="center" vertical="center"/>
    </x:xf>
    <x:xf numFmtId="200" fontId="8" fillId="0" borderId="2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11" fillId="9" borderId="0" xfId="0" applyNumberFormat="1" applyFont="1" applyFill="1" applyBorder="1" applyAlignment="1">
      <x:alignment horizontal="center" vertical="center"/>
    </x:xf>
    <x:xf numFmtId="0" fontId="0" fillId="9" borderId="19" xfId="0" applyNumberFormat="1" applyFont="1" applyFill="1" applyBorder="1"/>
    <x:xf numFmtId="0" fontId="11" fillId="9" borderId="19" xfId="0" applyNumberFormat="1" applyFont="1" applyFill="1" applyBorder="1"/>
    <x:xf numFmtId="0" fontId="11" fillId="9" borderId="19" xfId="0" applyNumberFormat="1" applyFont="1" applyFill="1" applyBorder="1" applyAlignment="1">
      <x:alignment horizontal="center"/>
    </x:xf>
    <x:xf numFmtId="0" fontId="11" fillId="9" borderId="19" xfId="0" applyNumberFormat="1" applyFont="1" applyFill="1" applyBorder="1" applyAlignment="1">
      <x:alignment horizontal="center" vertical="center"/>
    </x:xf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0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38" xfId="0" applyNumberFormat="1" applyFont="1" applyFill="1" applyBorder="1" applyAlignment="1">
      <x:alignment horizontal="center"/>
    </x:xf>
    <x:xf numFmtId="0" fontId="0" fillId="0" borderId="39" xfId="0" applyNumberFormat="1" applyFont="1" applyFill="1" applyBorder="1" applyAlignment="1">
      <x:alignment horizontal="center"/>
    </x:xf>
    <x:xf numFmtId="0" fontId="0" fillId="0" borderId="40" xfId="0" applyNumberFormat="1" applyFont="1" applyFill="1" applyBorder="1" applyAlignment="1">
      <x:alignment horizontal="center"/>
    </x:xf>
    <x:xf numFmtId="0" fontId="0" fillId="0" borderId="4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42" xfId="0" applyNumberFormat="1" applyFont="1" applyFill="1" applyBorder="1" applyAlignment="1">
      <x:alignment horizontal="center"/>
    </x:xf>
    <x:xf numFmtId="0" fontId="0" fillId="0" borderId="43" xfId="0" applyNumberFormat="1" applyFont="1" applyFill="1" applyBorder="1" applyAlignment="1">
      <x:alignment horizontal="center"/>
    </x:xf>
    <x:xf numFmtId="0" fontId="0" fillId="0" borderId="44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 applyAlignment="1">
      <x:alignment horizontal="center"/>
    </x:xf>
    <x:xf numFmtId="0" fontId="0" fillId="0" borderId="38" xfId="0" applyNumberFormat="1" applyFont="1" applyFill="1" applyBorder="1" applyAlignment="1">
      <x:alignment horizontal="center" vertical="center"/>
    </x:xf>
    <x:xf numFmtId="0" fontId="0" fillId="0" borderId="39" xfId="0" applyNumberFormat="1" applyFont="1" applyFill="1" applyBorder="1" applyAlignment="1">
      <x:alignment horizontal="center" vertical="center"/>
    </x:xf>
    <x:xf numFmtId="0" fontId="0" fillId="0" borderId="40" xfId="0" applyNumberFormat="1" applyFont="1" applyFill="1" applyBorder="1" applyAlignment="1">
      <x:alignment horizontal="center" vertical="center"/>
    </x:xf>
    <x:xf numFmtId="0" fontId="0" fillId="0" borderId="4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42" xfId="0" applyNumberFormat="1" applyFont="1" applyFill="1" applyBorder="1" applyAlignment="1">
      <x:alignment horizontal="center" vertical="center"/>
    </x:xf>
    <x:xf numFmtId="0" fontId="0" fillId="0" borderId="43" xfId="0" applyNumberFormat="1" applyFont="1" applyFill="1" applyBorder="1" applyAlignment="1">
      <x:alignment horizontal="center" vertical="center"/>
    </x:xf>
    <x:xf numFmtId="0" fontId="0" fillId="0" borderId="44" xfId="0" applyNumberFormat="1" applyFont="1" applyFill="1" applyBorder="1" applyAlignment="1">
      <x:alignment horizontal="center" vertical="center"/>
    </x:xf>
    <x:xf numFmtId="0" fontId="0" fillId="0" borderId="45" xfId="0" applyNumberFormat="1" applyFont="1" applyFill="1" applyBorder="1" applyAlignment="1">
      <x:alignment horizontal="center" vertical="center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46" xfId="0" applyNumberFormat="1" applyFont="1" applyFill="1" applyBorder="1" applyAlignment="1">
      <x:alignment horizontal="center"/>
    </x:xf>
    <x:xf numFmtId="0" fontId="0" fillId="0" borderId="47" xfId="0" applyNumberFormat="1" applyFont="1" applyFill="1" applyBorder="1" applyAlignment="1">
      <x:alignment horizontal="center"/>
    </x:xf>
    <x:xf numFmtId="0" fontId="0" fillId="0" borderId="48" xfId="0" applyNumberFormat="1" applyFont="1" applyFill="1" applyBorder="1" applyAlignment="1">
      <x:alignment horizontal="center"/>
    </x:xf>
    <x:xf numFmtId="0" fontId="0" fillId="0" borderId="49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50" xfId="0" applyNumberFormat="1" applyFont="1" applyFill="1" applyBorder="1" applyAlignment="1">
      <x:alignment horizontal="center"/>
    </x:xf>
    <x:xf numFmtId="0" fontId="0" fillId="0" borderId="51" xfId="0" applyNumberFormat="1" applyFont="1" applyFill="1" applyBorder="1" applyAlignment="1">
      <x:alignment horizontal="center"/>
    </x:xf>
    <x:xf numFmtId="0" fontId="0" fillId="0" borderId="52" xfId="0" applyNumberFormat="1" applyFont="1" applyFill="1" applyBorder="1" applyAlignment="1">
      <x:alignment horizontal="center"/>
    </x:xf>
    <x:xf numFmtId="0" fontId="0" fillId="0" borderId="53" xfId="0" applyNumberFormat="1" applyFont="1" applyFill="1" applyBorder="1" applyAlignment="1">
      <x:alignment horizontal="center"/>
    </x:xf>
    <x:xf numFmtId="0" fontId="0" fillId="0" borderId="46" xfId="0" applyNumberFormat="1" applyFont="1" applyFill="1" applyBorder="1" applyAlignment="1">
      <x:alignment horizontal="center" vertical="center"/>
    </x:xf>
    <x:xf numFmtId="0" fontId="0" fillId="0" borderId="47" xfId="0" applyNumberFormat="1" applyFont="1" applyFill="1" applyBorder="1" applyAlignment="1">
      <x:alignment horizontal="center" vertical="center"/>
    </x:xf>
    <x:xf numFmtId="0" fontId="0" fillId="0" borderId="48" xfId="0" applyNumberFormat="1" applyFont="1" applyFill="1" applyBorder="1" applyAlignment="1">
      <x:alignment horizontal="center" vertical="center"/>
    </x:xf>
    <x:xf numFmtId="0" fontId="0" fillId="0" borderId="49" xfId="0" applyNumberFormat="1" applyFont="1" applyFill="1" applyBorder="1" applyAlignment="1">
      <x:alignment horizontal="center" vertical="center"/>
    </x:xf>
    <x:xf numFmtId="0" fontId="0" fillId="0" borderId="50" xfId="0" applyNumberFormat="1" applyFont="1" applyFill="1" applyBorder="1" applyAlignment="1">
      <x:alignment horizontal="center" vertical="center"/>
    </x:xf>
    <x:xf numFmtId="0" fontId="0" fillId="0" borderId="51" xfId="0" applyNumberFormat="1" applyFont="1" applyFill="1" applyBorder="1" applyAlignment="1">
      <x:alignment horizontal="center" vertical="center"/>
    </x:xf>
    <x:xf numFmtId="0" fontId="0" fillId="0" borderId="52" xfId="0" applyNumberFormat="1" applyFont="1" applyFill="1" applyBorder="1" applyAlignment="1">
      <x:alignment horizontal="center" vertical="center"/>
    </x:xf>
    <x:xf numFmtId="0" fontId="0" fillId="0" borderId="53" xfId="0" applyNumberFormat="1" applyFont="1" applyFill="1" applyBorder="1" applyAlignment="1">
      <x:alignment horizontal="center" vertical="center"/>
    </x:xf>
    <x:xf numFmtId="201" fontId="0" fillId="0" borderId="40" xfId="0" applyNumberFormat="1" applyFont="1" applyFill="1" applyBorder="1" applyAlignment="1">
      <x:alignment horizontal="center" vertical="center"/>
    </x:xf>
    <x:xf numFmtId="201" fontId="0" fillId="0" borderId="42" xfId="0" applyNumberFormat="1" applyFont="1" applyFill="1" applyBorder="1" applyAlignment="1">
      <x:alignment horizontal="center" vertical="center"/>
    </x:xf>
    <x:xf numFmtId="201" fontId="0" fillId="0" borderId="45" xfId="0" applyNumberFormat="1" applyFont="1" applyFill="1" applyBorder="1" applyAlignment="1">
      <x:alignment horizontal="center" vertical="center"/>
    </x:xf>
    <x:xf numFmtId="201" fontId="0" fillId="0" borderId="48" xfId="0" applyNumberFormat="1" applyFont="1" applyFill="1" applyBorder="1" applyAlignment="1">
      <x:alignment horizontal="center" vertical="center"/>
    </x:xf>
    <x:xf numFmtId="201" fontId="0" fillId="0" borderId="50" xfId="0" applyNumberFormat="1" applyFont="1" applyFill="1" applyBorder="1" applyAlignment="1">
      <x:alignment horizontal="center" vertical="center"/>
    </x:xf>
    <x:xf numFmtId="201" fontId="0" fillId="0" borderId="53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19" fillId="0" borderId="19" xfId="0" applyNumberFormat="1" applyFont="1" applyFill="1" applyBorder="1"/>
    <x:xf numFmtId="0" fontId="16" fillId="0" borderId="0" xfId="0" applyNumberFormat="1" applyFont="1" applyFill="1" applyBorder="1" applyAlignment="1">
      <x:alignment wrapText="0"/>
    </x:xf>
    <x:xf numFmtId="0" fontId="8" fillId="0" borderId="7" xfId="0" applyNumberFormat="1" applyFont="1" applyFill="1" applyBorder="1" applyAlignment="1">
      <x:alignment wrapText="0"/>
    </x:xf>
    <x:xf numFmtId="0" fontId="16" fillId="0" borderId="19" xfId="0" applyNumberFormat="1" applyFont="1" applyFill="1" applyBorder="1" applyAlignment="1">
      <x:alignment wrapText="0"/>
    </x:xf>
    <x:xf numFmtId="0" fontId="8" fillId="0" borderId="27" xfId="0" applyNumberFormat="1" applyFont="1" applyFill="1" applyBorder="1" applyAlignment="1">
      <x:alignment wrapText="0"/>
    </x:xf>
  </x:cellXfs>
  <x:cellStyles count="2">
    <x:cellStyle name="Hiperligação" xfId="1"/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20c265ccd4642" /><Relationship Type="http://schemas.openxmlformats.org/officeDocument/2006/relationships/theme" Target="/xl/theme/theme1.xml" Id="Reb90d50b1e384235" /><Relationship Type="http://schemas.openxmlformats.org/officeDocument/2006/relationships/sharedStrings" Target="/xl/sharedStrings.xml" Id="Rb267c164ff4e4797" /><Relationship Type="http://schemas.openxmlformats.org/officeDocument/2006/relationships/worksheet" Target="/xl/worksheets/sheet1.xml" Id="R4cd8b6181fe74944" /><Relationship Type="http://schemas.openxmlformats.org/officeDocument/2006/relationships/worksheet" Target="/xl/worksheets/sheet2.xml" Id="Rb12cfbdb4fbe4659" /><Relationship Type="http://schemas.openxmlformats.org/officeDocument/2006/relationships/worksheet" Target="/xl/worksheets/sheet3.xml" Id="R4ba090f51eea4932" /><Relationship Type="http://schemas.openxmlformats.org/officeDocument/2006/relationships/worksheet" Target="/xl/worksheets/sheet4.xml" Id="R2b6e6977c5db46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a27f9bf03df44c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56450d0b420f4ce2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228600</xdr:colOff>
      <xdr:row>2</xdr:row>
      <xdr:rowOff>152351</xdr:rowOff>
    </xdr:from>
    <xdr:to>
      <xdr:col>3</xdr:col>
      <xdr:colOff>66675</xdr:colOff>
      <xdr:row>10</xdr:row>
      <xdr:rowOff>179161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27f9bf03df44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8</xdr:col>
      <xdr:colOff>34859</xdr:colOff>
      <xdr:row>38</xdr:row>
      <xdr:rowOff>38100</xdr:rowOff>
    </xdr:from>
    <xdr:to>
      <xdr:col>9</xdr:col>
      <xdr:colOff>286042</xdr:colOff>
      <xdr:row>42</xdr:row>
      <xdr:rowOff>152474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450d0b420f4c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a80a38f8ff341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mailto:rakellinosoares@gmail.com" TargetMode="External" Id="R8c8e4978dbb54370" /><Relationship Type="http://schemas.openxmlformats.org/officeDocument/2006/relationships/drawing" Target="/xl/drawings/drawing2.xml" Id="R70e50c1a4d8247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style="49" customWidth="1"/>
    <x:col min="2" max="2" width="18" style="49" customWidth="1"/>
    <x:col min="4" max="5" width="13" style="49" hidden="1" customWidth="1"/>
    <x:col min="4" max="4" width="12" hidden="0" customWidth="1"/>
    <x:col min="5" max="5" width="15" hidden="0" customWidth="1"/>
    <x:col min="6" max="6" width="18" hidden="0" customWidth="1"/>
  </x:cols>
  <x:sheetData>
    <x:row r="1" ht="24">
      <x:c r="A1" s="106" t="s">
        <x:v>0</x:v>
      </x:c>
      <x:c r="B1" s="107"/>
    </x:row>
    <x:row r="2">
      <x:c r="D2" s="293" t="str">
        <x:v>Ano</x:v>
      </x:c>
      <x:c r="E2" s="293" t="str">
        <x:v>Quotas pagas</x:v>
      </x:c>
      <x:c r="F2" s="293" t="str">
        <x:v>Valor recebido</x:v>
      </x:c>
    </x:row>
    <x:row r="3" ht="21">
      <x:c r="A3" s="55" t="s">
        <x:v>1</x:v>
      </x:c>
      <x:c r="B3" s="56" t="n">
        <x:f>COUNTIF('Listagem de Sócios'!$B$4:$B$53,"&lt;&gt;")</x:f>
        <x:v>0</x:v>
      </x:c>
      <x:c r="D3" s="316" t="n">
        <x:v>2026</x:v>
      </x:c>
      <x:c r="E3" s="317" t="n">
        <x:f>COUNTIF('Listagem de Sócios'!$J$4:$J$53,"Pago")</x:f>
        <x:v>0</x:v>
      </x:c>
      <x:c r="F3" s="350" t="n">
        <x:f>E3*12</x:f>
        <x:v>0</x:v>
      </x:c>
    </x:row>
    <x:row r="4" ht="21">
      <x:c r="A4" s="57" t="s">
        <x:v>2</x:v>
      </x:c>
      <x:c r="B4" s="56" t="n">
        <x:f>COUNTIF('Listagem de Sócios'!$I$4:$I$53,"Em dia")</x:f>
        <x:v>0</x:v>
      </x:c>
      <x:c r="D4" s="319" t="n">
        <x:v>2027</x:v>
      </x:c>
      <x:c r="E4" s="320" t="n">
        <x:f>COUNTIF('Listagem de Sócios'!$K$4:$K$53,"Pago")</x:f>
        <x:v>0</x:v>
      </x:c>
      <x:c r="F4" s="351" t="n">
        <x:f>E4*12</x:f>
        <x:v>0</x:v>
      </x:c>
    </x:row>
    <x:row r="5" ht="21">
      <x:c r="A5" s="58" t="s">
        <x:v>3</x:v>
      </x:c>
      <x:c r="B5" s="56" t="n">
        <x:f>COUNTIF('Listagem de Sócios'!$I$4:$I$53,"Em falta")</x:f>
        <x:v>0</x:v>
      </x:c>
      <x:c r="D5" s="319" t="n">
        <x:v>2028</x:v>
      </x:c>
      <x:c r="E5" s="320" t="n">
        <x:f>COUNTIF('Listagem de Sócios'!$L$4:$L$53,"Pago")</x:f>
        <x:v>0</x:v>
      </x:c>
      <x:c r="F5" s="351" t="n">
        <x:f>E5*12</x:f>
        <x:v>0</x:v>
      </x:c>
    </x:row>
    <x:row r="6">
      <x:c r="D6" s="319" t="n">
        <x:v>2029</x:v>
      </x:c>
      <x:c r="E6" s="320" t="n">
        <x:f>COUNTIF('Listagem de Sócios'!$M$4:$M$53,"Pago")</x:f>
        <x:v>0</x:v>
      </x:c>
      <x:c r="F6" s="351" t="n">
        <x:f>E6*12</x:f>
        <x:v>0</x:v>
      </x:c>
    </x:row>
    <x:row r="7">
      <x:c r="D7" s="322" t="n">
        <x:v>2030</x:v>
      </x:c>
      <x:c r="E7" s="323" t="n">
        <x:f>COUNTIF('Listagem de Sócios'!$N$4:$N$53,"Pago")</x:f>
        <x:v>0</x:v>
      </x:c>
      <x:c r="F7" s="352" t="n">
        <x:f>E7*12</x:f>
        <x:v>0</x:v>
      </x:c>
    </x:row>
    <x:row r="8">
      <x:c r="D8"/>
      <x:c r="E8"/>
    </x:row>
    <x:row r="9">
      <x:c r="D9"/>
      <x:c r="E9"/>
    </x:row>
    <x:row r="10">
      <x:c r="D10"/>
      <x:c r="E10"/>
    </x:row>
    <x:row r="11">
      <x:c r="D11"/>
      <x:c r="E11"/>
    </x:row>
    <x:row r="12">
      <x:c r="D12"/>
      <x:c r="E12"/>
    </x:row>
    <x:row r="13">
      <x:c r="D13"/>
      <x:c r="E13"/>
    </x:row>
    <x:row r="14">
      <x:c r="D14"/>
      <x:c r="E14"/>
    </x:row>
    <x:row r="15">
      <x:c r="D15"/>
      <x:c r="E15"/>
    </x:row>
    <x:row r="16">
      <x:c r="D16"/>
      <x:c r="E16"/>
    </x:row>
    <x:row r="17">
      <x:c r="D17"/>
      <x:c r="E17"/>
    </x:row>
    <x:row r="18">
      <x:c r="D18"/>
      <x:c r="E18"/>
    </x:row>
    <x:row r="19">
      <x:c r="D19"/>
      <x:c r="E19"/>
    </x:row>
    <x:row r="20">
      <x:c r="D20"/>
      <x:c r="E20"/>
    </x:row>
    <x:row r="21">
      <x:c r="D21"/>
      <x:c r="E21"/>
    </x:row>
    <x:row r="22">
      <x:c r="D22"/>
      <x:c r="E22"/>
    </x:row>
    <x:row r="23">
      <x:c r="D23"/>
      <x:c r="E23"/>
    </x:row>
    <x:row r="24">
      <x:c r="D24"/>
      <x:c r="E24"/>
    </x:row>
    <x:row r="25">
      <x:c r="D25"/>
      <x:c r="E25"/>
    </x:row>
    <x:row r="26">
      <x:c r="D26"/>
      <x:c r="E26"/>
    </x:row>
    <x:row r="27">
      <x:c r="D27"/>
      <x:c r="E27"/>
    </x:row>
    <x:row r="28">
      <x:c r="D28"/>
      <x:c r="E28"/>
    </x:row>
    <x:row r="29">
      <x:c r="D29"/>
      <x:c r="E29"/>
    </x:row>
    <x:row r="30">
      <x:c r="D30"/>
      <x:c r="E30"/>
    </x:row>
    <x:row r="31">
      <x:c r="D31"/>
      <x:c r="E31"/>
    </x:row>
    <x:row r="32">
      <x:c r="D32"/>
      <x:c r="E32"/>
    </x:row>
    <x:row r="33">
      <x:c r="D33"/>
      <x:c r="E33"/>
    </x:row>
    <x:row r="34">
      <x:c r="D34"/>
      <x:c r="E34"/>
    </x:row>
    <x:row r="35">
      <x:c r="D35"/>
      <x:c r="E35"/>
    </x:row>
    <x:row r="36">
      <x:c r="D36"/>
      <x:c r="E36"/>
    </x:row>
    <x:row r="37">
      <x:c r="D37"/>
      <x:c r="E37"/>
    </x:row>
    <x:row r="38">
      <x:c r="D38"/>
      <x:c r="E38"/>
    </x:row>
    <x:row r="39">
      <x:c r="D39"/>
      <x:c r="E39"/>
    </x:row>
    <x:row r="40">
      <x:c r="D40"/>
      <x:c r="E40"/>
    </x:row>
    <x:row r="41">
      <x:c r="D41"/>
      <x:c r="E41"/>
    </x:row>
    <x:row r="42">
      <x:c r="D42"/>
      <x:c r="E42"/>
    </x:row>
    <x:row r="43">
      <x:c r="D43"/>
      <x:c r="E43"/>
    </x:row>
    <x:row r="44">
      <x:c r="D44"/>
      <x:c r="E44"/>
    </x:row>
    <x:row r="45">
      <x:c r="D45"/>
      <x:c r="E45"/>
    </x:row>
    <x:row r="46">
      <x:c r="D46"/>
      <x:c r="E46"/>
    </x:row>
    <x:row r="47">
      <x:c r="D47"/>
      <x:c r="E47"/>
    </x:row>
    <x:row r="48">
      <x:c r="D48"/>
      <x:c r="E48"/>
    </x:row>
    <x:row r="49">
      <x:c r="D49"/>
      <x:c r="E49"/>
    </x:row>
    <x:row r="50">
      <x:c r="D50"/>
      <x:c r="E50"/>
    </x:row>
    <x:row r="51">
      <x:c r="D51"/>
      <x:c r="E51"/>
    </x:row>
    <x:row r="52">
      <x:c r="D52"/>
      <x:c r="E52"/>
    </x:row>
    <x:row r="53">
      <x:c r="D53"/>
      <x:c r="E5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" defaultRowHeight="15.75"/>
  <x:cols>
    <x:col min="1" max="1" width="11" style="24" customWidth="1"/>
    <x:col min="2" max="2" width="47" style="24" customWidth="1"/>
    <x:col min="3" max="3" width="17.42578125" style="24" customWidth="1"/>
    <x:col min="4" max="4" width="15.85546875" style="24" customWidth="1"/>
    <x:col min="5" max="5" width="25.7109375" style="49" customWidth="1"/>
    <x:col min="6" max="6" width="40.7109375" style="49" customWidth="1"/>
    <x:col min="7" max="7" width="20.7109375" style="49" customWidth="1"/>
    <x:col min="8" max="8" width="45.7109375" style="49" customWidth="1"/>
    <x:col min="9" max="9" width="17" style="24" customWidth="1"/>
    <x:col min="10" max="10" width="10.28515625" style="49" customWidth="1"/>
    <x:col min="11" max="11" width="10.28515625" style="24" customWidth="1"/>
    <x:col min="12" max="14" width="10.28515625" style="49" customWidth="1"/>
    <x:col min="15" max="15" width="29.85546875" style="49" customWidth="1"/>
    <x:col min="16" max="16" width="24.42578125" style="24" customWidth="1"/>
    <x:col min="17" max="17" width="30" style="24" customWidth="1"/>
    <x:col min="18" max="19" width="12" style="24" customWidth="1"/>
    <x:col min="20" max="16384" width="12" style="24" customWidth="0"/>
  </x:cols>
  <x:sheetData>
    <x:row r="2" ht="18.75" customHeight="1">
      <x:c r="E2" s="25"/>
      <x:c r="I2" s="36"/>
      <x:c r="P2" s="36"/>
    </x:row>
    <x:row r="3" ht="21" customHeight="1">
      <x:c r="A3" s="42" t="s">
        <x:v>4</x:v>
      </x:c>
      <x:c r="B3" s="43" t="s">
        <x:v>5</x:v>
      </x:c>
      <x:c r="C3" s="44" t="s">
        <x:v>6</x:v>
      </x:c>
      <x:c r="D3" s="44" t="s">
        <x:v>7</x:v>
      </x:c>
      <x:c r="E3" s="44" t="s">
        <x:v>8</x:v>
      </x:c>
      <x:c r="F3" s="44" t="s">
        <x:v>9</x:v>
      </x:c>
      <x:c r="G3" s="44" t="s">
        <x:v>10</x:v>
      </x:c>
      <x:c r="H3" s="44" t="s">
        <x:v>11</x:v>
      </x:c>
      <x:c r="I3" s="60" t="str">
        <x:v>Situação atual</x:v>
      </x:c>
      <x:c r="J3" s="61" t="s">
        <x:v>12</x:v>
      </x:c>
      <x:c r="K3" s="62" t="s">
        <x:v>13</x:v>
      </x:c>
      <x:c r="L3" s="62" t="s">
        <x:v>14</x:v>
      </x:c>
      <x:c r="M3" s="62" t="s">
        <x:v>15</x:v>
      </x:c>
      <x:c r="N3" s="62" t="s">
        <x:v>16</x:v>
      </x:c>
      <x:c r="O3" s="63" t="s">
        <x:v>17</x:v>
      </x:c>
      <x:c r="P3" s="64" t="s">
        <x:v>18</x:v>
      </x:c>
      <x:c r="Q3" s="65" t="s">
        <x:v>19</x:v>
      </x:c>
    </x:row>
    <x:row r="4" ht="21" customHeight="1">
      <x:c r="A4" s="26">
        <x:v>1</x:v>
      </x:c>
      <x:c r="B4" s="37"/>
      <x:c r="C4" s="40"/>
      <x:c r="D4" s="40"/>
      <x:c r="E4" s="40"/>
      <x:c r="F4" s="39"/>
      <x:c r="G4" s="39"/>
      <x:c r="H4" s="47"/>
      <x:c r="I4" s="35" t="str">
        <x:f>IF(B4="","",IFERROR(IF(INDEX(J4:N4,1,MATCH(YEAR(TODAY()),$J$3:$N$3,0))="Pago","Em dia","Em falta"),"Ano não configurado"))</x:f>
      </x:c>
      <x:c r="J4" s="24"/>
      <x:c r="K4" s="39"/>
      <x:c r="L4" s="39"/>
      <x:c r="M4" s="39"/>
      <x:c r="N4" s="39"/>
      <x:c r="O4" s="39"/>
      <x:c r="P4" s="59"/>
      <x:c r="Q4" s="48"/>
    </x:row>
    <x:row r="5" ht="21" customHeight="1">
      <x:c r="A5" s="26">
        <x:v>2</x:v>
      </x:c>
      <x:c r="B5" s="34"/>
      <x:c r="C5" s="39"/>
      <x:c r="D5" s="39"/>
      <x:c r="E5" s="39"/>
      <x:c r="F5" s="39"/>
      <x:c r="G5" s="39"/>
      <x:c r="H5" s="47"/>
      <x:c r="I5" s="35" t="str">
        <x:f>IF(B5="","",IFERROR(IF(INDEX(J5:N5,1,MATCH(YEAR(TODAY()),$J$3:$N$3,0))="Pago","Em dia","Em falta"),"Ano não configurado"))</x:f>
      </x:c>
      <x:c r="J5" s="39"/>
      <x:c r="K5" s="39"/>
      <x:c r="L5" s="39"/>
      <x:c r="M5" s="39"/>
      <x:c r="N5" s="39"/>
      <x:c r="O5" s="39"/>
      <x:c r="P5" s="59"/>
      <x:c r="Q5" s="48"/>
    </x:row>
    <x:row r="6" ht="21" customHeight="1">
      <x:c r="A6" s="26">
        <x:v>3</x:v>
      </x:c>
      <x:c r="B6" s="34"/>
      <x:c r="C6" s="39"/>
      <x:c r="D6" s="39"/>
      <x:c r="E6" s="39"/>
      <x:c r="F6" s="39"/>
      <x:c r="G6" s="39"/>
      <x:c r="H6" s="47"/>
      <x:c r="I6" s="35" t="str">
        <x:f>IF(B6="","",IFERROR(IF(INDEX(J6:N6,1,MATCH(YEAR(TODAY()),$J$3:$N$3,0))="Pago","Em dia","Em falta"),"Ano não configurado"))</x:f>
      </x:c>
      <x:c r="J6" s="39"/>
      <x:c r="K6" s="39"/>
      <x:c r="L6" s="39"/>
      <x:c r="M6" s="39"/>
      <x:c r="N6" s="39"/>
      <x:c r="O6" s="39"/>
      <x:c r="P6" s="59"/>
      <x:c r="Q6" s="48"/>
    </x:row>
    <x:row r="7" ht="21" customHeight="1">
      <x:c r="A7" s="26">
        <x:v>4</x:v>
      </x:c>
      <x:c r="B7" s="34"/>
      <x:c r="C7" s="39"/>
      <x:c r="D7" s="39"/>
      <x:c r="E7" s="39"/>
      <x:c r="F7" s="39"/>
      <x:c r="G7" s="39"/>
      <x:c r="H7" s="47"/>
      <x:c r="I7" s="35" t="str">
        <x:f>IF(B7="","",IFERROR(IF(INDEX(J7:N7,1,MATCH(YEAR(TODAY()),$J$3:$N$3,0))="Pago","Em dia","Em falta"),"Ano não configurado"))</x:f>
      </x:c>
      <x:c r="J7" s="39"/>
      <x:c r="K7" s="39"/>
      <x:c r="L7" s="39"/>
      <x:c r="M7" s="39"/>
      <x:c r="N7" s="39"/>
      <x:c r="O7" s="39"/>
      <x:c r="P7" s="59"/>
      <x:c r="Q7" s="48"/>
    </x:row>
    <x:row r="8" ht="21" customHeight="1">
      <x:c r="A8" s="26">
        <x:v>5</x:v>
      </x:c>
      <x:c r="B8" s="34"/>
      <x:c r="C8" s="39"/>
      <x:c r="D8" s="39"/>
      <x:c r="E8" s="39"/>
      <x:c r="F8" s="39"/>
      <x:c r="G8" s="39"/>
      <x:c r="H8" s="39"/>
      <x:c r="I8" s="48" t="str">
        <x:f>IF(B8="","",IFERROR(IF(INDEX(J8:N8,1,MATCH(YEAR(TODAY()),$J$3:$N$3,0))="Pago","Em dia","Em falta"),"Ano não configurado"))</x:f>
      </x:c>
      <x:c r="K8" s="39"/>
      <x:c r="L8" s="39"/>
      <x:c r="M8" s="39"/>
      <x:c r="N8" s="39"/>
      <x:c r="O8" s="39"/>
      <x:c r="P8" s="59"/>
      <x:c r="Q8" s="48"/>
    </x:row>
    <x:row r="9" ht="21" customHeight="1">
      <x:c r="A9" s="26">
        <x:v>6</x:v>
      </x:c>
      <x:c r="B9" s="34"/>
      <x:c r="C9" s="39"/>
      <x:c r="D9" s="39"/>
      <x:c r="E9" s="39"/>
      <x:c r="F9" s="39"/>
      <x:c r="G9" s="39"/>
      <x:c r="H9" s="39"/>
      <x:c r="I9" s="48" t="str">
        <x:f>IF(B9="","",IFERROR(IF(INDEX(J9:N9,1,MATCH(YEAR(TODAY()),$J$3:$N$3,0))="Pago","Em dia","Em falta"),"Ano não configurado"))</x:f>
      </x:c>
      <x:c r="K9" s="39"/>
      <x:c r="L9" s="45"/>
      <x:c r="M9" s="45"/>
      <x:c r="N9" s="45"/>
      <x:c r="O9" s="45"/>
      <x:c r="P9" s="59"/>
      <x:c r="Q9" s="48"/>
    </x:row>
    <x:row r="10" ht="21" customHeight="1">
      <x:c r="A10" s="26">
        <x:v>7</x:v>
      </x:c>
      <x:c r="B10" s="34"/>
      <x:c r="C10" s="39"/>
      <x:c r="D10" s="39"/>
      <x:c r="E10" s="39"/>
      <x:c r="F10" s="39"/>
      <x:c r="G10" s="39"/>
      <x:c r="H10" s="39"/>
      <x:c r="I10" s="48" t="str">
        <x:f>IF(B10="","",IFERROR(IF(INDEX(J10:N10,1,MATCH(YEAR(TODAY()),$J$3:$N$3,0))="Pago","Em dia","Em falta"),"Ano não configurado"))</x:f>
      </x:c>
      <x:c r="K10" s="39"/>
      <x:c r="L10" s="45"/>
      <x:c r="M10" s="45"/>
      <x:c r="N10" s="45"/>
      <x:c r="O10" s="45"/>
      <x:c r="P10" s="59"/>
      <x:c r="Q10" s="48"/>
    </x:row>
    <x:row r="11" ht="21" customHeight="1">
      <x:c r="A11" s="26">
        <x:v>8</x:v>
      </x:c>
      <x:c r="B11" s="34"/>
      <x:c r="C11" s="39"/>
      <x:c r="D11" s="39"/>
      <x:c r="E11" s="39"/>
      <x:c r="F11" s="39"/>
      <x:c r="G11" s="39"/>
      <x:c r="H11" s="39"/>
      <x:c r="I11" s="48" t="str">
        <x:f>IF(B11="","",IFERROR(IF(INDEX(J11:N11,1,MATCH(YEAR(TODAY()),$J$3:$N$3,0))="Pago","Em dia","Em falta"),"Ano não configurado"))</x:f>
      </x:c>
      <x:c r="K11" s="39"/>
      <x:c r="L11" s="45"/>
      <x:c r="M11" s="45"/>
      <x:c r="N11" s="45"/>
      <x:c r="O11" s="45"/>
      <x:c r="P11" s="59"/>
      <x:c r="Q11" s="48"/>
    </x:row>
    <x:row r="12" ht="21" customHeight="1">
      <x:c r="A12" s="26">
        <x:v>9</x:v>
      </x:c>
      <x:c r="B12" s="34"/>
      <x:c r="C12" s="39"/>
      <x:c r="D12" s="39"/>
      <x:c r="E12" s="39"/>
      <x:c r="F12" s="39"/>
      <x:c r="G12" s="39"/>
      <x:c r="H12" s="39"/>
      <x:c r="I12" s="48" t="str">
        <x:f>IF(B12="","",IFERROR(IF(INDEX(J12:N12,1,MATCH(YEAR(TODAY()),$J$3:$N$3,0))="Pago","Em dia","Em falta"),"Ano não configurado"))</x:f>
      </x:c>
      <x:c r="K12" s="39"/>
      <x:c r="L12" s="45"/>
      <x:c r="M12" s="45"/>
      <x:c r="N12" s="45"/>
      <x:c r="O12" s="45"/>
      <x:c r="P12" s="59"/>
      <x:c r="Q12" s="48"/>
    </x:row>
    <x:row r="13" ht="21" customHeight="1">
      <x:c r="A13" s="26">
        <x:v>10</x:v>
      </x:c>
      <x:c r="B13" s="34"/>
      <x:c r="C13" s="39"/>
      <x:c r="D13" s="39"/>
      <x:c r="E13" s="39"/>
      <x:c r="F13" s="39"/>
      <x:c r="G13" s="39"/>
      <x:c r="H13" s="39"/>
      <x:c r="I13" s="48" t="str">
        <x:f>IF(B13="","",IFERROR(IF(INDEX(J13:N13,1,MATCH(YEAR(TODAY()),$J$3:$N$3,0))="Pago","Em dia","Em falta"),"Ano não configurado"))</x:f>
      </x:c>
      <x:c r="K13" s="39"/>
      <x:c r="L13" s="45"/>
      <x:c r="M13" s="45"/>
      <x:c r="N13" s="45"/>
      <x:c r="O13" s="45"/>
      <x:c r="P13" s="59"/>
      <x:c r="Q13" s="48"/>
    </x:row>
    <x:row r="14" ht="21" customHeight="1">
      <x:c r="A14" s="26">
        <x:v>11</x:v>
      </x:c>
      <x:c r="B14" s="38"/>
      <x:c r="C14" s="39"/>
      <x:c r="D14" s="39"/>
      <x:c r="E14" s="39"/>
      <x:c r="F14" s="39"/>
      <x:c r="G14" s="39"/>
      <x:c r="H14" s="39"/>
      <x:c r="I14" s="48" t="str">
        <x:f>IF(B14="","",IFERROR(IF(INDEX(J14:N14,1,MATCH(YEAR(TODAY()),$J$3:$N$3,0))="Pago","Em dia","Em falta"),"Ano não configurado"))</x:f>
      </x:c>
      <x:c r="K14" s="39"/>
      <x:c r="L14" s="45"/>
      <x:c r="M14" s="45"/>
      <x:c r="N14" s="45"/>
      <x:c r="O14" s="45"/>
      <x:c r="P14" s="59"/>
      <x:c r="Q14" s="48"/>
    </x:row>
    <x:row r="15" ht="21" customHeight="1">
      <x:c r="A15" s="26">
        <x:v>12</x:v>
      </x:c>
      <x:c r="B15" s="38"/>
      <x:c r="C15" s="39"/>
      <x:c r="D15" s="39"/>
      <x:c r="E15" s="39"/>
      <x:c r="F15" s="39"/>
      <x:c r="G15" s="39"/>
      <x:c r="H15" s="39"/>
      <x:c r="I15" s="48" t="str">
        <x:f>IF(B15="","",IFERROR(IF(INDEX(J15:N15,1,MATCH(YEAR(TODAY()),$J$3:$N$3,0))="Pago","Em dia","Em falta"),"Ano não configurado"))</x:f>
      </x:c>
      <x:c r="K15" s="39"/>
      <x:c r="L15" s="45"/>
      <x:c r="M15" s="45"/>
      <x:c r="N15" s="45"/>
      <x:c r="O15" s="45"/>
      <x:c r="P15" s="59"/>
      <x:c r="Q15" s="48"/>
    </x:row>
    <x:row r="16" ht="21" customHeight="1">
      <x:c r="A16" s="26">
        <x:v>13</x:v>
      </x:c>
      <x:c r="B16" s="38"/>
      <x:c r="C16" s="39"/>
      <x:c r="D16" s="39"/>
      <x:c r="E16" s="39"/>
      <x:c r="F16" s="39"/>
      <x:c r="G16" s="39"/>
      <x:c r="H16" s="39"/>
      <x:c r="I16" s="48" t="str">
        <x:f>IF(B16="","",IFERROR(IF(INDEX(J16:N16,1,MATCH(YEAR(TODAY()),$J$3:$N$3,0))="Pago","Em dia","Em falta"),"Ano não configurado"))</x:f>
      </x:c>
      <x:c r="K16" s="39"/>
      <x:c r="L16" s="45"/>
      <x:c r="M16" s="45"/>
      <x:c r="N16" s="45"/>
      <x:c r="O16" s="45"/>
      <x:c r="P16" s="59"/>
      <x:c r="Q16" s="48"/>
    </x:row>
    <x:row r="17" ht="21" customHeight="1">
      <x:c r="A17" s="26">
        <x:v>14</x:v>
      </x:c>
      <x:c r="B17" s="38"/>
      <x:c r="C17" s="39"/>
      <x:c r="D17" s="39"/>
      <x:c r="E17" s="39"/>
      <x:c r="F17" s="39"/>
      <x:c r="G17" s="39"/>
      <x:c r="H17" s="39"/>
      <x:c r="I17" s="48" t="str">
        <x:f>IF(B17="","",IFERROR(IF(INDEX(J17:N17,1,MATCH(YEAR(TODAY()),$J$3:$N$3,0))="Pago","Em dia","Em falta"),"Ano não configurado"))</x:f>
      </x:c>
      <x:c r="K17" s="39"/>
      <x:c r="L17" s="45"/>
      <x:c r="M17" s="45"/>
      <x:c r="N17" s="45"/>
      <x:c r="O17" s="45"/>
      <x:c r="P17" s="59"/>
      <x:c r="Q17" s="48"/>
    </x:row>
    <x:row r="18" ht="21" customHeight="1">
      <x:c r="A18" s="26">
        <x:v>15</x:v>
      </x:c>
      <x:c r="B18" s="38"/>
      <x:c r="C18" s="39"/>
      <x:c r="D18" s="39"/>
      <x:c r="E18" s="39"/>
      <x:c r="F18" s="39"/>
      <x:c r="G18" s="39"/>
      <x:c r="H18" s="39"/>
      <x:c r="I18" s="48" t="str">
        <x:f>IF(B18="","",IFERROR(IF(INDEX(J18:N18,1,MATCH(YEAR(TODAY()),$J$3:$N$3,0))="Pago","Em dia","Em falta"),"Ano não configurado"))</x:f>
      </x:c>
      <x:c r="K18" s="39"/>
      <x:c r="L18" s="45"/>
      <x:c r="M18" s="45"/>
      <x:c r="N18" s="45"/>
      <x:c r="O18" s="45"/>
      <x:c r="P18" s="59"/>
      <x:c r="Q18" s="48"/>
    </x:row>
    <x:row r="19" ht="21" customHeight="1">
      <x:c r="A19" s="26">
        <x:v>16</x:v>
      </x:c>
      <x:c r="B19" s="38"/>
      <x:c r="C19" s="39"/>
      <x:c r="D19" s="39"/>
      <x:c r="E19" s="39"/>
      <x:c r="F19" s="39"/>
      <x:c r="G19" s="39"/>
      <x:c r="H19" s="39"/>
      <x:c r="I19" s="48" t="str">
        <x:f>IF(B19="","",IFERROR(IF(INDEX(J19:N19,1,MATCH(YEAR(TODAY()),$J$3:$N$3,0))="Pago","Em dia","Em falta"),"Ano não configurado"))</x:f>
      </x:c>
      <x:c r="K19" s="39"/>
      <x:c r="L19" s="45"/>
      <x:c r="M19" s="45"/>
      <x:c r="N19" s="45"/>
      <x:c r="O19" s="45"/>
      <x:c r="P19" s="59"/>
      <x:c r="Q19" s="48"/>
    </x:row>
    <x:row r="20" ht="21" customHeight="1">
      <x:c r="A20" s="26">
        <x:v>17</x:v>
      </x:c>
      <x:c r="B20" s="38"/>
      <x:c r="C20" s="39"/>
      <x:c r="D20" s="39"/>
      <x:c r="E20" s="39"/>
      <x:c r="F20" s="39"/>
      <x:c r="G20" s="39"/>
      <x:c r="H20" s="39"/>
      <x:c r="I20" s="48" t="str">
        <x:f>IF(B20="","",IFERROR(IF(INDEX(J20:N20,1,MATCH(YEAR(TODAY()),$J$3:$N$3,0))="Pago","Em dia","Em falta"),"Ano não configurado"))</x:f>
      </x:c>
      <x:c r="K20" s="39"/>
      <x:c r="L20" s="41"/>
      <x:c r="M20" s="41"/>
      <x:c r="N20" s="41"/>
      <x:c r="O20" s="41"/>
      <x:c r="P20" s="59"/>
      <x:c r="Q20" s="48"/>
    </x:row>
    <x:row r="21" ht="21" customHeight="1">
      <x:c r="A21" s="26">
        <x:v>18</x:v>
      </x:c>
      <x:c r="B21" s="38"/>
      <x:c r="C21" s="39"/>
      <x:c r="D21" s="39"/>
      <x:c r="E21" s="39"/>
      <x:c r="F21" s="39"/>
      <x:c r="G21" s="39"/>
      <x:c r="H21" s="39"/>
      <x:c r="I21" s="48" t="str">
        <x:f>IF(B21="","",IFERROR(IF(INDEX(J21:N21,1,MATCH(YEAR(TODAY()),$J$3:$N$3,0))="Pago","Em dia","Em falta"),"Ano não configurado"))</x:f>
      </x:c>
      <x:c r="K21" s="39"/>
      <x:c r="L21" s="41"/>
      <x:c r="M21" s="41"/>
      <x:c r="N21" s="41"/>
      <x:c r="O21" s="41"/>
      <x:c r="P21" s="59"/>
      <x:c r="Q21" s="48"/>
    </x:row>
    <x:row r="22" ht="21" customHeight="1">
      <x:c r="A22" s="26">
        <x:v>19</x:v>
      </x:c>
      <x:c r="B22" s="38"/>
      <x:c r="C22" s="39"/>
      <x:c r="D22" s="39"/>
      <x:c r="E22" s="39"/>
      <x:c r="F22" s="39"/>
      <x:c r="G22" s="39"/>
      <x:c r="H22" s="39"/>
      <x:c r="I22" s="48" t="str">
        <x:f>IF(B22="","",IFERROR(IF(INDEX(J22:N22,1,MATCH(YEAR(TODAY()),$J$3:$N$3,0))="Pago","Em dia","Em falta"),"Ano não configurado"))</x:f>
      </x:c>
      <x:c r="K22" s="39"/>
      <x:c r="L22" s="41"/>
      <x:c r="M22" s="41"/>
      <x:c r="N22" s="41"/>
      <x:c r="O22" s="41"/>
      <x:c r="P22" s="59"/>
      <x:c r="Q22" s="48"/>
    </x:row>
    <x:row r="23" ht="21" customHeight="1">
      <x:c r="A23" s="26">
        <x:v>20</x:v>
      </x:c>
      <x:c r="B23" s="38"/>
      <x:c r="C23" s="39"/>
      <x:c r="D23" s="39"/>
      <x:c r="E23" s="39"/>
      <x:c r="F23" s="39"/>
      <x:c r="G23" s="39"/>
      <x:c r="H23" s="39"/>
      <x:c r="I23" s="48" t="str">
        <x:f>IF(B23="","",IFERROR(IF(INDEX(J23:N23,1,MATCH(YEAR(TODAY()),$J$3:$N$3,0))="Pago","Em dia","Em falta"),"Ano não configurado"))</x:f>
      </x:c>
      <x:c r="K23" s="39"/>
      <x:c r="L23" s="41"/>
      <x:c r="M23" s="41"/>
      <x:c r="N23" s="41"/>
      <x:c r="O23" s="41"/>
      <x:c r="P23" s="59"/>
      <x:c r="Q23" s="48"/>
    </x:row>
    <x:row r="24" ht="21" customHeight="1">
      <x:c r="A24" s="26">
        <x:v>21</x:v>
      </x:c>
      <x:c r="B24" s="38"/>
      <x:c r="C24" s="39"/>
      <x:c r="D24" s="39"/>
      <x:c r="E24" s="39"/>
      <x:c r="F24" s="39"/>
      <x:c r="G24" s="39"/>
      <x:c r="H24" s="39"/>
      <x:c r="I24" s="48" t="str">
        <x:f>IF(B24="","",IFERROR(IF(INDEX(J24:N24,1,MATCH(YEAR(TODAY()),$J$3:$N$3,0))="Pago","Em dia","Em falta"),"Ano não configurado"))</x:f>
      </x:c>
      <x:c r="K24" s="39"/>
      <x:c r="L24" s="41"/>
      <x:c r="M24" s="41"/>
      <x:c r="N24" s="41"/>
      <x:c r="O24" s="41"/>
      <x:c r="P24" s="59"/>
      <x:c r="Q24" s="48"/>
    </x:row>
    <x:row r="25" ht="21" customHeight="1">
      <x:c r="A25" s="26">
        <x:v>22</x:v>
      </x:c>
      <x:c r="B25" s="38"/>
      <x:c r="C25" s="39"/>
      <x:c r="D25" s="39"/>
      <x:c r="E25" s="39"/>
      <x:c r="F25" s="39"/>
      <x:c r="G25" s="39"/>
      <x:c r="H25" s="39"/>
      <x:c r="I25" s="48" t="str">
        <x:f>IF(B25="","",IFERROR(IF(INDEX(J25:N25,1,MATCH(YEAR(TODAY()),$J$3:$N$3,0))="Pago","Em dia","Em falta"),"Ano não configurado"))</x:f>
      </x:c>
      <x:c r="K25" s="39"/>
      <x:c r="L25" s="41"/>
      <x:c r="M25" s="41"/>
      <x:c r="N25" s="41"/>
      <x:c r="O25" s="41"/>
      <x:c r="P25" s="59"/>
      <x:c r="Q25" s="48"/>
    </x:row>
    <x:row r="26" ht="21" customHeight="1">
      <x:c r="A26" s="26">
        <x:v>23</x:v>
      </x:c>
      <x:c r="B26" s="38"/>
      <x:c r="C26" s="39"/>
      <x:c r="D26" s="39"/>
      <x:c r="E26" s="39"/>
      <x:c r="F26" s="39"/>
      <x:c r="G26" s="39"/>
      <x:c r="H26" s="39"/>
      <x:c r="I26" s="48" t="str">
        <x:f>IF(B26="","",IFERROR(IF(INDEX(J26:N26,1,MATCH(YEAR(TODAY()),$J$3:$N$3,0))="Pago","Em dia","Em falta"),"Ano não configurado"))</x:f>
      </x:c>
      <x:c r="K26" s="39"/>
      <x:c r="L26" s="41"/>
      <x:c r="M26" s="41"/>
      <x:c r="N26" s="41"/>
      <x:c r="O26" s="41"/>
      <x:c r="P26" s="59"/>
      <x:c r="Q26" s="48"/>
    </x:row>
    <x:row r="27" ht="21" customHeight="1">
      <x:c r="A27" s="26">
        <x:v>24</x:v>
      </x:c>
      <x:c r="B27" s="38"/>
      <x:c r="C27" s="39"/>
      <x:c r="D27" s="39"/>
      <x:c r="E27" s="39"/>
      <x:c r="F27" s="39"/>
      <x:c r="G27" s="39"/>
      <x:c r="H27" s="39"/>
      <x:c r="I27" s="48" t="str">
        <x:f>IF(B27="","",IFERROR(IF(INDEX(J27:N27,1,MATCH(YEAR(TODAY()),$J$3:$N$3,0))="Pago","Em dia","Em falta"),"Ano não configurado"))</x:f>
      </x:c>
      <x:c r="K27" s="39"/>
      <x:c r="L27" s="41"/>
      <x:c r="M27" s="41"/>
      <x:c r="N27" s="41"/>
      <x:c r="O27" s="41"/>
      <x:c r="P27" s="59"/>
      <x:c r="Q27" s="48"/>
    </x:row>
    <x:row r="28" ht="21" customHeight="1">
      <x:c r="A28" s="26">
        <x:v>25</x:v>
      </x:c>
      <x:c r="B28" s="38"/>
      <x:c r="C28" s="39"/>
      <x:c r="D28" s="39"/>
      <x:c r="E28" s="39"/>
      <x:c r="F28" s="39"/>
      <x:c r="G28" s="39"/>
      <x:c r="H28" s="39"/>
      <x:c r="I28" s="48" t="str">
        <x:f>IF(B28="","",IFERROR(IF(INDEX(J28:N28,1,MATCH(YEAR(TODAY()),$J$3:$N$3,0))="Pago","Em dia","Em falta"),"Ano não configurado"))</x:f>
      </x:c>
      <x:c r="K28" s="39"/>
      <x:c r="L28" s="41"/>
      <x:c r="M28" s="41"/>
      <x:c r="N28" s="41"/>
      <x:c r="O28" s="41"/>
      <x:c r="P28" s="59"/>
      <x:c r="Q28" s="48"/>
    </x:row>
    <x:row r="29" ht="21" customHeight="1">
      <x:c r="A29" s="26">
        <x:v>26</x:v>
      </x:c>
      <x:c r="B29" s="38"/>
      <x:c r="C29" s="39"/>
      <x:c r="D29" s="39"/>
      <x:c r="E29" s="39"/>
      <x:c r="F29" s="39"/>
      <x:c r="G29" s="39"/>
      <x:c r="H29" s="39"/>
      <x:c r="I29" s="48" t="str">
        <x:f>IF(B29="","",IFERROR(IF(INDEX(J29:N29,1,MATCH(YEAR(TODAY()),$J$3:$N$3,0))="Pago","Em dia","Em falta"),"Ano não configurado"))</x:f>
      </x:c>
      <x:c r="K29" s="39"/>
      <x:c r="L29" s="41"/>
      <x:c r="M29" s="41"/>
      <x:c r="N29" s="41"/>
      <x:c r="O29" s="41"/>
      <x:c r="P29" s="59"/>
      <x:c r="Q29" s="48"/>
    </x:row>
    <x:row r="30" ht="21" customHeight="1">
      <x:c r="A30" s="26">
        <x:v>27</x:v>
      </x:c>
      <x:c r="B30" s="38"/>
      <x:c r="C30" s="39"/>
      <x:c r="D30" s="39"/>
      <x:c r="E30" s="39"/>
      <x:c r="F30" s="39"/>
      <x:c r="G30" s="39"/>
      <x:c r="H30" s="39"/>
      <x:c r="I30" s="48" t="str">
        <x:f>IF(B30="","",IFERROR(IF(INDEX(J30:N30,1,MATCH(YEAR(TODAY()),$J$3:$N$3,0))="Pago","Em dia","Em falta"),"Ano não configurado"))</x:f>
      </x:c>
      <x:c r="K30" s="39"/>
      <x:c r="L30" s="41"/>
      <x:c r="M30" s="41"/>
      <x:c r="N30" s="41"/>
      <x:c r="O30" s="41"/>
      <x:c r="P30" s="59"/>
      <x:c r="Q30" s="48"/>
    </x:row>
    <x:row r="31" ht="21" customHeight="1">
      <x:c r="A31" s="26">
        <x:v>28</x:v>
      </x:c>
      <x:c r="B31" s="38"/>
      <x:c r="C31" s="39"/>
      <x:c r="D31" s="39"/>
      <x:c r="E31" s="39"/>
      <x:c r="F31" s="39"/>
      <x:c r="G31" s="39"/>
      <x:c r="H31" s="39"/>
      <x:c r="I31" s="48" t="str">
        <x:f>IF(B31="","",IFERROR(IF(INDEX(J31:N31,1,MATCH(YEAR(TODAY()),$J$3:$N$3,0))="Pago","Em dia","Em falta"),"Ano não configurado"))</x:f>
      </x:c>
      <x:c r="K31" s="39"/>
      <x:c r="L31" s="41"/>
      <x:c r="M31" s="41"/>
      <x:c r="N31" s="41"/>
      <x:c r="O31" s="41"/>
      <x:c r="P31" s="59"/>
      <x:c r="Q31" s="48"/>
    </x:row>
    <x:row r="32" ht="21" customHeight="1">
      <x:c r="A32" s="26">
        <x:v>29</x:v>
      </x:c>
      <x:c r="B32" s="38"/>
      <x:c r="C32" s="39"/>
      <x:c r="D32" s="39"/>
      <x:c r="E32" s="39"/>
      <x:c r="F32" s="39"/>
      <x:c r="G32" s="39"/>
      <x:c r="H32" s="39"/>
      <x:c r="I32" s="48" t="str">
        <x:f>IF(B32="","",IFERROR(IF(INDEX(J32:N32,1,MATCH(YEAR(TODAY()),$J$3:$N$3,0))="Pago","Em dia","Em falta"),"Ano não configurado"))</x:f>
      </x:c>
      <x:c r="K32" s="39"/>
      <x:c r="L32" s="41"/>
      <x:c r="M32" s="41"/>
      <x:c r="N32" s="41"/>
      <x:c r="O32" s="41"/>
      <x:c r="P32" s="59"/>
      <x:c r="Q32" s="48"/>
    </x:row>
    <x:row r="33" ht="21" customHeight="1">
      <x:c r="A33" s="26">
        <x:v>30</x:v>
      </x:c>
      <x:c r="B33" s="38"/>
      <x:c r="C33" s="39"/>
      <x:c r="D33" s="39"/>
      <x:c r="E33" s="39"/>
      <x:c r="F33" s="39"/>
      <x:c r="G33" s="39"/>
      <x:c r="H33" s="39"/>
      <x:c r="I33" s="48" t="str">
        <x:f>IF(B33="","",IFERROR(IF(INDEX(J33:N33,1,MATCH(YEAR(TODAY()),$J$3:$N$3,0))="Pago","Em dia","Em falta"),"Ano não configurado"))</x:f>
      </x:c>
      <x:c r="K33" s="39"/>
      <x:c r="L33" s="41"/>
      <x:c r="M33" s="41"/>
      <x:c r="N33" s="41"/>
      <x:c r="O33" s="41"/>
      <x:c r="P33" s="59"/>
      <x:c r="Q33" s="48"/>
    </x:row>
    <x:row r="34" ht="21" customHeight="1">
      <x:c r="A34" s="26">
        <x:v>31</x:v>
      </x:c>
      <x:c r="B34" s="38"/>
      <x:c r="C34" s="39"/>
      <x:c r="D34" s="39"/>
      <x:c r="E34" s="39"/>
      <x:c r="F34" s="39"/>
      <x:c r="G34" s="39"/>
      <x:c r="H34" s="39"/>
      <x:c r="I34" s="48" t="str">
        <x:f>IF(B34="","",IFERROR(IF(INDEX(J34:N34,1,MATCH(YEAR(TODAY()),$J$3:$N$3,0))="Pago","Em dia","Em falta"),"Ano não configurado"))</x:f>
      </x:c>
      <x:c r="K34" s="39"/>
      <x:c r="L34" s="41"/>
      <x:c r="M34" s="41"/>
      <x:c r="N34" s="41"/>
      <x:c r="O34" s="41"/>
      <x:c r="P34" s="59"/>
      <x:c r="Q34" s="48"/>
    </x:row>
    <x:row r="35" ht="21" customHeight="1">
      <x:c r="A35" s="26">
        <x:v>32</x:v>
      </x:c>
      <x:c r="B35" s="38"/>
      <x:c r="C35" s="39"/>
      <x:c r="D35" s="39"/>
      <x:c r="E35" s="39"/>
      <x:c r="F35" s="39"/>
      <x:c r="G35" s="39"/>
      <x:c r="H35" s="39"/>
      <x:c r="I35" s="48" t="str">
        <x:f>IF(B35="","",IFERROR(IF(INDEX(J35:N35,1,MATCH(YEAR(TODAY()),$J$3:$N$3,0))="Pago","Em dia","Em falta"),"Ano não configurado"))</x:f>
      </x:c>
      <x:c r="K35" s="39"/>
      <x:c r="L35" s="41"/>
      <x:c r="M35" s="41"/>
      <x:c r="N35" s="41"/>
      <x:c r="O35" s="41"/>
      <x:c r="P35" s="59"/>
      <x:c r="Q35" s="48"/>
    </x:row>
    <x:row r="36" ht="21" customHeight="1">
      <x:c r="A36" s="26">
        <x:v>33</x:v>
      </x:c>
      <x:c r="B36" s="38"/>
      <x:c r="C36" s="39"/>
      <x:c r="D36" s="39"/>
      <x:c r="E36" s="39"/>
      <x:c r="F36" s="39"/>
      <x:c r="G36" s="39"/>
      <x:c r="H36" s="39"/>
      <x:c r="I36" s="48" t="str">
        <x:f>IF(B36="","",IFERROR(IF(INDEX(J36:N36,1,MATCH(YEAR(TODAY()),$J$3:$N$3,0))="Pago","Em dia","Em falta"),"Ano não configurado"))</x:f>
      </x:c>
      <x:c r="K36" s="39"/>
      <x:c r="L36" s="41"/>
      <x:c r="M36" s="41"/>
      <x:c r="N36" s="41"/>
      <x:c r="O36" s="41"/>
      <x:c r="P36" s="59"/>
      <x:c r="Q36" s="48"/>
    </x:row>
    <x:row r="37" ht="21" customHeight="1">
      <x:c r="A37" s="26">
        <x:v>34</x:v>
      </x:c>
      <x:c r="B37" s="38"/>
      <x:c r="C37" s="39"/>
      <x:c r="D37" s="39"/>
      <x:c r="E37" s="39"/>
      <x:c r="F37" s="39"/>
      <x:c r="G37" s="39"/>
      <x:c r="H37" s="39"/>
      <x:c r="I37" s="48" t="str">
        <x:f>IF(B37="","",IFERROR(IF(INDEX(J37:N37,1,MATCH(YEAR(TODAY()),$J$3:$N$3,0))="Pago","Em dia","Em falta"),"Ano não configurado"))</x:f>
      </x:c>
      <x:c r="K37" s="39"/>
      <x:c r="L37" s="41"/>
      <x:c r="M37" s="41"/>
      <x:c r="N37" s="41"/>
      <x:c r="O37" s="41"/>
      <x:c r="P37" s="59"/>
      <x:c r="Q37" s="48"/>
    </x:row>
    <x:row r="38" ht="21" customHeight="1">
      <x:c r="A38" s="26">
        <x:v>35</x:v>
      </x:c>
      <x:c r="B38" s="38"/>
      <x:c r="C38" s="39"/>
      <x:c r="D38" s="39"/>
      <x:c r="E38" s="39"/>
      <x:c r="F38" s="39"/>
      <x:c r="G38" s="39"/>
      <x:c r="H38" s="39"/>
      <x:c r="I38" s="48" t="str">
        <x:f>IF(B38="","",IFERROR(IF(INDEX(J38:N38,1,MATCH(YEAR(TODAY()),$J$3:$N$3,0))="Pago","Em dia","Em falta"),"Ano não configurado"))</x:f>
      </x:c>
      <x:c r="K38" s="39"/>
      <x:c r="L38" s="41"/>
      <x:c r="M38" s="41"/>
      <x:c r="N38" s="41"/>
      <x:c r="O38" s="41"/>
      <x:c r="P38" s="59"/>
      <x:c r="Q38" s="48"/>
    </x:row>
    <x:row r="39" ht="21" customHeight="1">
      <x:c r="A39" s="26">
        <x:v>36</x:v>
      </x:c>
      <x:c r="B39" s="38"/>
      <x:c r="C39" s="39"/>
      <x:c r="D39" s="39"/>
      <x:c r="E39" s="39"/>
      <x:c r="F39" s="39"/>
      <x:c r="G39" s="39"/>
      <x:c r="H39" s="39"/>
      <x:c r="I39" s="48" t="str">
        <x:f>IF(B39="","",IFERROR(IF(INDEX(J39:N39,1,MATCH(YEAR(TODAY()),$J$3:$N$3,0))="Pago","Em dia","Em falta"),"Ano não configurado"))</x:f>
      </x:c>
      <x:c r="K39" s="39"/>
      <x:c r="L39" s="41"/>
      <x:c r="M39" s="41"/>
      <x:c r="N39" s="41"/>
      <x:c r="O39" s="41"/>
      <x:c r="P39" s="59"/>
      <x:c r="Q39" s="48"/>
    </x:row>
    <x:row r="40" ht="21" customHeight="1">
      <x:c r="A40" s="26">
        <x:v>37</x:v>
      </x:c>
      <x:c r="B40" s="38"/>
      <x:c r="C40" s="39"/>
      <x:c r="D40" s="39"/>
      <x:c r="E40" s="39"/>
      <x:c r="F40" s="39"/>
      <x:c r="G40" s="39"/>
      <x:c r="H40" s="39"/>
      <x:c r="I40" s="48" t="str">
        <x:f>IF(B40="","",IFERROR(IF(INDEX(J40:N40,1,MATCH(YEAR(TODAY()),$J$3:$N$3,0))="Pago","Em dia","Em falta"),"Ano não configurado"))</x:f>
      </x:c>
      <x:c r="K40" s="39"/>
      <x:c r="L40" s="41"/>
      <x:c r="M40" s="41"/>
      <x:c r="N40" s="41"/>
      <x:c r="O40" s="41"/>
      <x:c r="P40" s="59"/>
      <x:c r="Q40" s="48"/>
    </x:row>
    <x:row r="41" ht="21" customHeight="1">
      <x:c r="A41" s="26">
        <x:v>38</x:v>
      </x:c>
      <x:c r="B41" s="38"/>
      <x:c r="C41" s="39"/>
      <x:c r="D41" s="39"/>
      <x:c r="E41" s="39"/>
      <x:c r="F41" s="39"/>
      <x:c r="G41" s="39"/>
      <x:c r="H41" s="39"/>
      <x:c r="I41" s="48" t="str">
        <x:f>IF(B41="","",IFERROR(IF(INDEX(J41:N41,1,MATCH(YEAR(TODAY()),$J$3:$N$3,0))="Pago","Em dia","Em falta"),"Ano não configurado"))</x:f>
      </x:c>
      <x:c r="K41" s="39"/>
      <x:c r="L41" s="41"/>
      <x:c r="M41" s="41"/>
      <x:c r="N41" s="41"/>
      <x:c r="O41" s="41"/>
      <x:c r="P41" s="59"/>
      <x:c r="Q41" s="48"/>
    </x:row>
    <x:row r="42" ht="21" customHeight="1">
      <x:c r="A42" s="26">
        <x:v>39</x:v>
      </x:c>
      <x:c r="B42" s="38"/>
      <x:c r="C42" s="39"/>
      <x:c r="D42" s="39"/>
      <x:c r="E42" s="39"/>
      <x:c r="F42" s="39"/>
      <x:c r="G42" s="39"/>
      <x:c r="H42" s="39"/>
      <x:c r="I42" s="48" t="str">
        <x:f>IF(B42="","",IFERROR(IF(INDEX(J42:N42,1,MATCH(YEAR(TODAY()),$J$3:$N$3,0))="Pago","Em dia","Em falta"),"Ano não configurado"))</x:f>
      </x:c>
      <x:c r="K42" s="39"/>
      <x:c r="L42" s="41"/>
      <x:c r="M42" s="41"/>
      <x:c r="N42" s="41"/>
      <x:c r="O42" s="41"/>
      <x:c r="P42" s="59"/>
      <x:c r="Q42" s="48"/>
    </x:row>
    <x:row r="43" ht="21" customHeight="1">
      <x:c r="A43" s="26">
        <x:v>40</x:v>
      </x:c>
      <x:c r="B43" s="38"/>
      <x:c r="C43" s="39"/>
      <x:c r="D43" s="39"/>
      <x:c r="E43" s="39"/>
      <x:c r="F43" s="39"/>
      <x:c r="G43" s="39"/>
      <x:c r="H43" s="39"/>
      <x:c r="I43" s="48" t="str">
        <x:f>IF(B43="","",IFERROR(IF(INDEX(J43:N43,1,MATCH(YEAR(TODAY()),$J$3:$N$3,0))="Pago","Em dia","Em falta"),"Ano não configurado"))</x:f>
      </x:c>
      <x:c r="K43" s="39"/>
      <x:c r="L43" s="41"/>
      <x:c r="M43" s="41"/>
      <x:c r="N43" s="41"/>
      <x:c r="O43" s="41"/>
      <x:c r="P43" s="59"/>
      <x:c r="Q43" s="48"/>
    </x:row>
    <x:row r="44" ht="21" customHeight="1">
      <x:c r="A44" s="26">
        <x:v>41</x:v>
      </x:c>
      <x:c r="B44" s="38"/>
      <x:c r="C44" s="39"/>
      <x:c r="D44" s="39"/>
      <x:c r="E44" s="39"/>
      <x:c r="F44" s="39"/>
      <x:c r="G44" s="39"/>
      <x:c r="H44" s="39"/>
      <x:c r="I44" s="48" t="str">
        <x:f>IF(B44="","",IFERROR(IF(INDEX(J44:N44,1,MATCH(YEAR(TODAY()),$J$3:$N$3,0))="Pago","Em dia","Em falta"),"Ano não configurado"))</x:f>
      </x:c>
      <x:c r="K44" s="39"/>
      <x:c r="L44" s="41"/>
      <x:c r="M44" s="41"/>
      <x:c r="N44" s="41"/>
      <x:c r="O44" s="41"/>
      <x:c r="P44" s="59"/>
      <x:c r="Q44" s="48"/>
    </x:row>
    <x:row r="45" ht="21" customHeight="1">
      <x:c r="A45" s="26">
        <x:v>42</x:v>
      </x:c>
      <x:c r="B45" s="38"/>
      <x:c r="C45" s="39"/>
      <x:c r="D45" s="39"/>
      <x:c r="E45" s="39"/>
      <x:c r="F45" s="39"/>
      <x:c r="G45" s="39"/>
      <x:c r="H45" s="39"/>
      <x:c r="I45" s="48" t="str">
        <x:f>IF(B45="","",IFERROR(IF(INDEX(J45:N45,1,MATCH(YEAR(TODAY()),$J$3:$N$3,0))="Pago","Em dia","Em falta"),"Ano não configurado"))</x:f>
      </x:c>
      <x:c r="P45" s="59"/>
      <x:c r="Q45" s="48"/>
    </x:row>
    <x:row r="46" ht="21" customHeight="1">
      <x:c r="A46" s="26">
        <x:v>43</x:v>
      </x:c>
      <x:c r="B46" s="38"/>
      <x:c r="C46" s="39"/>
      <x:c r="D46" s="39"/>
      <x:c r="E46" s="39"/>
      <x:c r="F46" s="39"/>
      <x:c r="G46" s="39"/>
      <x:c r="H46" s="39"/>
      <x:c r="I46" s="48" t="str">
        <x:f>IF(B46="","",IFERROR(IF(INDEX(J46:N46,1,MATCH(YEAR(TODAY()),$J$3:$N$3,0))="Pago","Em dia","Em falta"),"Ano não configurado"))</x:f>
      </x:c>
      <x:c r="P46" s="59"/>
      <x:c r="Q46" s="48"/>
    </x:row>
    <x:row r="47" ht="21" customHeight="1">
      <x:c r="A47" s="26">
        <x:v>44</x:v>
      </x:c>
      <x:c r="B47" s="38"/>
      <x:c r="C47" s="39"/>
      <x:c r="D47" s="39"/>
      <x:c r="E47" s="39"/>
      <x:c r="F47" s="39"/>
      <x:c r="G47" s="39"/>
      <x:c r="H47" s="39"/>
      <x:c r="I47" s="48" t="str">
        <x:f>IF(B47="","",IFERROR(IF(INDEX(J47:N47,1,MATCH(YEAR(TODAY()),$J$3:$N$3,0))="Pago","Em dia","Em falta"),"Ano não configurado"))</x:f>
      </x:c>
      <x:c r="P47" s="59"/>
      <x:c r="Q47" s="48"/>
    </x:row>
    <x:row r="48" ht="21" customHeight="1">
      <x:c r="A48" s="26">
        <x:v>45</x:v>
      </x:c>
      <x:c r="B48" s="38"/>
      <x:c r="C48" s="39"/>
      <x:c r="D48" s="39"/>
      <x:c r="E48" s="39"/>
      <x:c r="F48" s="39"/>
      <x:c r="G48" s="39"/>
      <x:c r="H48" s="39"/>
      <x:c r="I48" s="48" t="str">
        <x:f>IF(B48="","",IFERROR(IF(INDEX(J48:N48,1,MATCH(YEAR(TODAY()),$J$3:$N$3,0))="Pago","Em dia","Em falta"),"Ano não configurado"))</x:f>
      </x:c>
      <x:c r="P48" s="59"/>
      <x:c r="Q48" s="48"/>
    </x:row>
    <x:row r="49" ht="21" customHeight="1">
      <x:c r="A49" s="26">
        <x:v>46</x:v>
      </x:c>
      <x:c r="B49" s="38"/>
      <x:c r="C49" s="39"/>
      <x:c r="D49" s="39"/>
      <x:c r="E49" s="39"/>
      <x:c r="F49" s="39"/>
      <x:c r="G49" s="39"/>
      <x:c r="H49" s="39"/>
      <x:c r="I49" s="48" t="str">
        <x:f>IF(B49="","",IFERROR(IF(INDEX(J49:N49,1,MATCH(YEAR(TODAY()),$J$3:$N$3,0))="Pago","Em dia","Em falta"),"Ano não configurado"))</x:f>
      </x:c>
      <x:c r="P49" s="59"/>
      <x:c r="Q49" s="48"/>
    </x:row>
    <x:row r="50" ht="21" customHeight="1">
      <x:c r="A50" s="26">
        <x:v>47</x:v>
      </x:c>
      <x:c r="B50" s="38"/>
      <x:c r="C50" s="39"/>
      <x:c r="D50" s="39"/>
      <x:c r="E50" s="39"/>
      <x:c r="F50" s="39"/>
      <x:c r="G50" s="39"/>
      <x:c r="H50" s="39"/>
      <x:c r="I50" s="48" t="str">
        <x:f>IF(B50="","",IFERROR(IF(INDEX(J50:N50,1,MATCH(YEAR(TODAY()),$J$3:$N$3,0))="Pago","Em dia","Em falta"),"Ano não configurado"))</x:f>
      </x:c>
      <x:c r="P50" s="59"/>
      <x:c r="Q50" s="48"/>
    </x:row>
    <x:row r="51" ht="21" customHeight="1">
      <x:c r="A51" s="26">
        <x:v>48</x:v>
      </x:c>
      <x:c r="B51" s="38"/>
      <x:c r="C51" s="39"/>
      <x:c r="D51" s="39"/>
      <x:c r="E51" s="39"/>
      <x:c r="F51" s="39"/>
      <x:c r="G51" s="39"/>
      <x:c r="H51" s="39"/>
      <x:c r="I51" s="48" t="str">
        <x:f>IF(B51="","",IFERROR(IF(INDEX(J51:N51,1,MATCH(YEAR(TODAY()),$J$3:$N$3,0))="Pago","Em dia","Em falta"),"Ano não configurado"))</x:f>
      </x:c>
      <x:c r="P51" s="59"/>
      <x:c r="Q51" s="48"/>
    </x:row>
    <x:row r="52" ht="21" customHeight="1">
      <x:c r="A52" s="26">
        <x:v>49</x:v>
      </x:c>
      <x:c r="B52" s="38"/>
      <x:c r="C52" s="39"/>
      <x:c r="D52" s="39"/>
      <x:c r="E52" s="39"/>
      <x:c r="F52" s="39"/>
      <x:c r="G52" s="39"/>
      <x:c r="H52" s="39"/>
      <x:c r="I52" s="48" t="str">
        <x:f>IF(B52="","",IFERROR(IF(INDEX(J52:N52,1,MATCH(YEAR(TODAY()),$J$3:$N$3,0))="Pago","Em dia","Em falta"),"Ano não configurado"))</x:f>
      </x:c>
      <x:c r="P52" s="59"/>
      <x:c r="Q52" s="48"/>
    </x:row>
    <x:row r="53" ht="21" customHeight="1">
      <x:c r="A53" s="26">
        <x:v>50</x:v>
      </x:c>
      <x:c r="B53" s="38"/>
      <x:c r="C53" s="39"/>
      <x:c r="D53" s="39"/>
      <x:c r="E53" s="39"/>
      <x:c r="F53" s="39"/>
      <x:c r="G53" s="39"/>
      <x:c r="H53" s="39"/>
      <x:c r="I53" s="48" t="str">
        <x:f>IF(B53="","",IFERROR(IF(INDEX(J53:N53,1,MATCH(YEAR(TODAY()),$J$3:$N$3,0))="Pago","Em dia","Em falta"),"Ano não configurado"))</x:f>
      </x:c>
      <x:c r="P53" s="59"/>
      <x:c r="Q53" s="48"/>
    </x:row>
  </x:sheetData>
  <x:conditionalFormatting sqref="I4:I53">
    <x:cfRule type="expression" dxfId="0" priority="1">
      <x:formula>I4="Em dia"</x:formula>
    </x:cfRule>
    <x:cfRule type="expression" dxfId="1" priority="2">
      <x:formula>I4="Em falta"</x:formula>
    </x:cfRule>
  </x:conditionalFormatting>
  <x:dataValidations count="3">
    <x:dataValidation type="list" allowBlank="1" sqref="I4:I53">
      <x:formula1>"Mensal,Anual"</x:formula1>
    </x:dataValidation>
    <x:dataValidation type="list" allowBlank="1" sqref="O4:O53">
      <x:formula1>"Transferência bancária,MB WAY,Dinheiro,Outro"</x:formula1>
    </x:dataValidation>
    <x:dataValidation type="list" sqref="J4:N53">
      <x:formula1>"Pago,Em falta"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9.140625" style="66" customWidth="0"/>
    <x:col min="3" max="3" width="6.7109375" style="66" customWidth="1"/>
    <x:col min="4" max="4" width="5" style="66" customWidth="1"/>
    <x:col min="5" max="5" width="7.28515625" style="66" customWidth="1"/>
    <x:col min="6" max="6" width="9.140625" style="66" customWidth="0"/>
    <x:col min="7" max="7" width="9.7109375" style="66" customWidth="1"/>
    <x:col min="8" max="8" width="10.7109375" style="66" customWidth="1"/>
    <x:col min="9" max="9" width="9.140625" style="66" customWidth="1"/>
    <x:col min="10" max="10" width="10.5703125" style="66" customWidth="1"/>
    <x:col min="11" max="11" width="2.85546875" style="66" customWidth="1"/>
    <x:col min="12" max="16384" width="9.140625" style="66" customWidth="0"/>
  </x:cols>
  <x:sheetData>
    <x:row r="3">
      <x:c r="A3" s="70"/>
      <x:c r="B3" s="70"/>
      <x:c r="C3" s="70"/>
      <x:c r="D3" s="70"/>
      <x:c r="F3" s="70"/>
      <x:c r="G3" s="70"/>
      <x:c r="H3" s="70"/>
      <x:c r="I3" s="70"/>
      <x:c r="J3" s="70"/>
      <x:c r="K3" s="70"/>
      <x:c r="L3" s="70"/>
      <x:c r="M3" s="70"/>
    </x:row>
    <x:row r="4" ht="20.25">
      <x:c r="A4" s="70"/>
      <x:c r="B4" s="70"/>
      <x:c r="C4" s="70"/>
      <x:c r="D4" s="70"/>
      <x:c r="E4" s="96" t="s">
        <x:v>20</x:v>
      </x:c>
      <x:c r="G4" s="97"/>
      <x:c r="H4" s="97"/>
      <x:c r="I4" s="97"/>
      <x:c r="J4" s="70"/>
      <x:c r="K4" s="70"/>
      <x:c r="L4" s="70"/>
      <x:c r="M4" s="70"/>
      <x:c r="N4" s="70"/>
    </x:row>
    <x:row r="5">
      <x:c r="A5" s="70"/>
      <x:c r="B5" s="70"/>
      <x:c r="C5" s="70"/>
      <x:c r="D5" s="70"/>
      <x:c r="E5" s="70" t="s">
        <x:v>21</x:v>
      </x:c>
      <x:c r="F5" s="70"/>
      <x:c r="G5" s="70"/>
      <x:c r="H5" s="70"/>
      <x:c r="J5" s="70"/>
      <x:c r="K5" s="70"/>
      <x:c r="L5" s="70"/>
      <x:c r="M5" s="70"/>
      <x:c r="N5" s="70"/>
    </x:row>
    <x:row r="6">
      <x:c r="A6" s="70"/>
      <x:c r="B6" s="70"/>
      <x:c r="C6" s="70"/>
      <x:c r="D6" s="70"/>
      <x:c r="E6" s="70" t="s">
        <x:v>22</x:v>
      </x:c>
      <x:c r="F6" s="70"/>
      <x:c r="G6" s="70"/>
      <x:c r="H6" s="70" t="s">
        <x:v>23</x:v>
      </x:c>
      <x:c r="J6" s="70"/>
      <x:c r="K6" s="70"/>
      <x:c r="L6" s="70"/>
      <x:c r="M6" s="70"/>
      <x:c r="N6" s="70"/>
    </x:row>
    <x:row r="7" ht="5.25" customHeight="1">
      <x:c r="A7" s="70"/>
      <x:c r="B7" s="70"/>
      <x:c r="C7" s="70"/>
      <x:c r="D7" s="70"/>
      <x:c r="E7" s="70"/>
      <x:c r="F7" s="70"/>
      <x:c r="G7" s="70"/>
      <x:c r="H7" s="70"/>
      <x:c r="J7" s="70"/>
      <x:c r="K7" s="70"/>
      <x:c r="L7" s="70"/>
      <x:c r="M7" s="70"/>
      <x:c r="N7" s="70"/>
    </x:row>
    <x:row r="8">
      <x:c r="A8" s="70"/>
      <x:c r="B8" s="70"/>
      <x:c r="C8" s="70"/>
      <x:c r="D8" s="70"/>
      <x:c r="E8" s="70" t="s">
        <x:v>24</x:v>
      </x:c>
      <x:c r="F8" s="70"/>
      <x:c r="G8" s="70"/>
      <x:c r="H8" s="70"/>
      <x:c r="J8" s="70"/>
      <x:c r="K8" s="70"/>
      <x:c r="L8" s="70"/>
      <x:c r="M8" s="70"/>
      <x:c r="N8" s="70"/>
    </x:row>
    <x:row r="9" ht="15">
      <x:c r="A9" s="70"/>
      <x:c r="B9" s="70"/>
      <x:c r="C9" s="70"/>
      <x:c r="D9" s="70"/>
      <x:c r="E9" s="70" t="s">
        <x:v>25</x:v>
      </x:c>
      <x:c r="F9" s="70"/>
      <x:c r="G9" s="70"/>
      <x:c r="H9" s="70"/>
      <x:c r="J9" s="70"/>
      <x:c r="K9" s="70"/>
      <x:c r="L9" s="70"/>
      <x:c r="M9" s="70"/>
      <x:c r="N9" s="70"/>
    </x:row>
    <x:row r="10" ht="15.75">
      <x:c r="A10" s="70"/>
      <x:c r="B10" s="70"/>
      <x:c r="C10" s="70"/>
      <x:c r="D10" s="70"/>
      <x:c r="E10" s="70"/>
      <x:c r="F10" s="70"/>
      <x:c r="G10" s="70"/>
      <x:c r="H10" s="70"/>
      <x:c r="J10" s="70"/>
      <x:c r="K10" s="70"/>
      <x:c r="L10" s="70"/>
      <x:c r="M10" s="77" t="s">
        <x:v>26</x:v>
      </x:c>
      <x:c r="N10" s="78" t="str"/>
    </x:row>
    <x:row r="11">
      <x:c r="A11" s="70"/>
      <x:c r="B11" s="70"/>
      <x:c r="C11" s="70"/>
      <x:c r="D11" s="70"/>
      <x:c r="E11" s="70" t="s">
        <x:v>27</x:v>
      </x:c>
      <x:c r="F11" s="70"/>
      <x:c r="G11" s="70"/>
      <x:c r="H11" s="70"/>
      <x:c r="J11" s="70"/>
      <x:c r="K11" s="70"/>
      <x:c r="L11" s="70"/>
      <x:c r="M11" s="70"/>
      <x:c r="N11" s="70"/>
    </x:row>
    <x:row r="12">
      <x:c r="A12" s="70"/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</x:row>
    <x:row r="14">
      <x:c r="A14" s="70"/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</x:row>
    <x:row r="15" ht="15">
      <x:c r="A15" s="70"/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</x:row>
    <x:row r="16" ht="15" customHeight="1">
      <x:c r="A16" s="108" t="s">
        <x:v>28</x:v>
      </x:c>
      <x:c r="B16" s="109"/>
      <x:c r="C16" s="109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8"/>
    </x:row>
    <x:row r="17" ht="15" customHeight="1">
      <x:c r="A17" s="69"/>
      <x:c r="B17" s="70"/>
      <x:c r="C17" s="70"/>
      <x:c r="D17" s="70"/>
      <x:c r="E17" s="70"/>
      <x:c r="F17" s="70"/>
      <x:c r="G17" s="70"/>
      <x:c r="H17" s="70"/>
      <x:c r="K17" s="79"/>
      <x:c r="L17" s="70"/>
      <x:c r="M17" s="70"/>
      <x:c r="N17" s="72"/>
    </x:row>
    <x:row r="18" ht="15" customHeight="1">
      <x:c r="A18" s="110" t="s">
        <x:v>29</x:v>
      </x:c>
      <x:c r="B18" s="111"/>
      <x:c r="C18" s="286" t="str">
        <x:f>IF($N$10="","",IFERROR(INDEX('Listagem de Sócios'!$P$4:$P$53,MATCH($N$10,'Listagem de Sócios'!$A$4:$A$53,0)),""))</x:f>
      </x:c>
      <x:c r="D18" s="287"/>
      <x:c r="E18" s="287"/>
      <x:c r="F18" s="70"/>
      <x:c r="G18" s="70"/>
      <x:c r="H18" s="70"/>
      <x:c r="I18" s="70"/>
      <x:c r="J18" s="70"/>
      <x:c r="K18" s="130" t="s">
        <x:v>30</x:v>
      </x:c>
      <x:c r="L18" s="130"/>
      <x:c r="M18" s="130"/>
      <x:c r="N18" s="72"/>
    </x:row>
    <x:row r="19" ht="15" customHeight="1">
      <x:c r="A19" s="81"/>
      <x:c r="B19" s="77"/>
      <x:c r="C19" s="82"/>
      <x:c r="D19" s="82"/>
      <x:c r="E19" s="70"/>
      <x:c r="F19" s="70"/>
      <x:c r="G19" s="70"/>
      <x:c r="H19" s="70"/>
      <x:c r="I19" s="71"/>
      <x:c r="K19" s="70"/>
      <x:c r="L19" s="70"/>
      <x:c r="M19" s="70"/>
      <x:c r="N19" s="72"/>
    </x:row>
    <x:row r="20" ht="15" customHeight="1">
      <x:c r="A20" s="131" t="s">
        <x:v>31</x:v>
      </x:c>
      <x:c r="B20" s="111"/>
      <x:c r="C20" s="84" t="s">
        <x:v>32</x:v>
      </x:c>
      <x:c r="D20" s="84" t="s">
        <x:v>32</x:v>
      </x:c>
      <x:c r="E20" s="85"/>
      <x:c r="F20" s="70"/>
      <x:c r="G20" s="70"/>
      <x:c r="H20" s="70"/>
      <x:c r="I20" s="70"/>
      <x:c r="J20" s="70"/>
      <x:c r="K20" s="70"/>
      <x:c r="L20" s="70"/>
      <x:c r="M20" s="70"/>
      <x:c r="N20" s="72"/>
    </x:row>
    <x:row r="21" ht="15" customHeight="1">
      <x:c r="A21" s="86"/>
      <x:c r="B21" s="87"/>
      <x:c r="C21" s="82"/>
      <x:c r="D21" s="82"/>
      <x:c r="E21" s="70"/>
      <x:c r="F21" s="70"/>
      <x:c r="G21" s="70"/>
      <x:c r="H21" s="70"/>
      <x:c r="J21" s="85"/>
      <x:c r="K21" s="85"/>
      <x:c r="L21" s="85"/>
      <x:c r="M21" s="85"/>
      <x:c r="N21" s="72"/>
    </x:row>
    <x:row r="22" ht="15" customHeight="1">
      <x:c r="A22" s="73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5"/>
    </x:row>
    <x:row r="23" ht="15" customHeight="1"/>
    <x:row r="24" ht="15" customHeight="1"/>
    <x:row r="25" ht="15.75" customHeight="1">
      <x:c r="M25" s="70"/>
    </x:row>
    <x:row r="26" ht="15.75" customHeight="1">
      <x:c r="A26" s="128" t="s">
        <x:v>33</x:v>
      </x:c>
      <x:c r="B26" s="129"/>
      <x:c r="C26" s="129"/>
      <x:c r="D26" s="88"/>
      <x:c r="E26" s="88"/>
      <x:c r="F26" s="88"/>
      <x:c r="G26" s="88"/>
      <x:c r="H26" s="88"/>
      <x:c r="I26" s="88"/>
      <x:c r="J26" s="88"/>
      <x:c r="K26" s="88"/>
      <x:c r="L26" s="67"/>
      <x:c r="M26" s="67"/>
      <x:c r="N26" s="68"/>
    </x:row>
    <x:row r="27" ht="15.75" customHeight="1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0"/>
      <x:c r="L27" s="70"/>
      <x:c r="M27" s="70"/>
      <x:c r="N27" s="72"/>
    </x:row>
    <x:row r="28" ht="20.25" customHeight="1">
      <x:c r="A28" s="69"/>
      <x:c r="B28" s="124" t="s">
        <x:v>34</x:v>
      </x:c>
      <x:c r="C28" s="124"/>
      <x:c r="D28" s="124"/>
      <x:c r="E28" s="125" t="str">
        <x:f>IF($N$10="","",IFERROR(INDEX('Listagem de Sócios'!$B$4:$B$53,MATCH($N$10,'Listagem de Sócios'!$A$4:$A$53,0)),""))</x:f>
      </x:c>
      <x:c r="F28" s="125"/>
      <x:c r="G28" s="125"/>
      <x:c r="H28" s="125"/>
      <x:c r="I28" s="125"/>
      <x:c r="J28" s="125"/>
      <x:c r="K28" s="90"/>
      <x:c r="L28" s="104" t="s">
        <x:v>35</x:v>
      </x:c>
      <x:c r="M28" s="125" t="str">
        <x:f>IF($N$10="","",IFERROR(INDEX('Listagem de Sócios'!$D$4:$D$53,MATCH($N$10,'Listagem de Sócios'!$A$4:$A$53,0)),""))</x:f>
      </x:c>
      <x:c r="N28" s="126"/>
    </x:row>
    <x:row r="29" ht="20.25" customHeight="1">
      <x:c r="A29" s="69"/>
      <x:c r="B29" s="124" t="s">
        <x:v>36</x:v>
      </x:c>
      <x:c r="C29" s="124"/>
      <x:c r="D29" s="124"/>
      <x:c r="E29" s="125" t="str">
        <x:f>IF($N$10="","",IFERROR(INDEX('Listagem de Sócios'!$F$4:$F$53,MATCH($N$10,'Listagem de Sócios'!$A$4:$A$53,0)),""))</x:f>
      </x:c>
      <x:c r="F29" s="125"/>
      <x:c r="G29" s="125"/>
      <x:c r="H29" s="125"/>
      <x:c r="I29" s="125"/>
      <x:c r="J29" s="125"/>
      <x:c r="K29" s="357" t="str">
        <x:v>Localidade.:</x:v>
      </x:c>
      <x:c r="L29" s="358"/>
      <x:c r="M29" s="70" t="str">
        <x:f>IF($N$10="","",IFERROR(INDEX('Listagem de Sócios'!$E$4:$E$53,MATCH($N$10,'Listagem de Sócios'!$A$4:$A$53,0)),""))</x:f>
      </x:c>
      <x:c r="N29" s="72"/>
    </x:row>
    <x:row r="30" ht="20.25" customHeight="1">
      <x:c r="A30" s="69"/>
      <x:c r="B30" s="124" t="s">
        <x:v>37</x:v>
      </x:c>
      <x:c r="C30" s="124"/>
      <x:c r="D30" s="124"/>
      <x:c r="E30" s="71" t="str">
        <x:f>IF($N$10="","",IFERROR(INDEX('Listagem de Sócios'!$G$4:$G$53,MATCH($N$10,'Listagem de Sócios'!$A$4:$A$53,0)),""))</x:f>
      </x:c>
      <x:c r="F30" s="91"/>
      <x:c r="G30" s="70"/>
      <x:c r="H30" s="83"/>
      <x:c r="I30" s="71"/>
      <x:c r="J30" s="71"/>
      <x:c r="M30" s="70"/>
      <x:c r="N30" s="72"/>
    </x:row>
    <x:row r="31" ht="20.25" customHeight="1">
      <x:c r="A31" s="69"/>
      <x:c r="B31" s="124" t="s">
        <x:v>38</x:v>
      </x:c>
      <x:c r="C31" s="124"/>
      <x:c r="D31" s="124"/>
      <x:c r="E31" s="125" t="str">
        <x:f>IF($N$10="","",IFERROR(INDEX('Listagem de Sócios'!$H$4:$H$53,MATCH($N$10,'Listagem de Sócios'!$A$4:$A$53,0)),""))</x:f>
      </x:c>
      <x:c r="F31" s="125"/>
      <x:c r="G31" s="125"/>
      <x:c r="H31" s="125"/>
      <x:c r="I31" s="125"/>
      <x:c r="J31" s="125"/>
      <x:c r="K31" s="127" t="s">
        <x:v>39</x:v>
      </x:c>
      <x:c r="L31" s="127"/>
      <x:c r="M31" s="70" t="str">
        <x:f>IF($N$10="","",IFERROR(INDEX('Listagem de Sócios'!$C$4:$C$53,MATCH($N$10,'Listagem de Sócios'!$A$4:$A$53,0)),""))</x:f>
      </x:c>
      <x:c r="N31" s="72"/>
    </x:row>
    <x:row r="32" ht="16.5" customHeight="1">
      <x:c r="A32" s="92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74"/>
      <x:c r="M32" s="74"/>
      <x:c r="N32" s="75"/>
    </x:row>
    <x:row r="33" ht="15.75" customHeight="1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 ht="15.75" customHeight="1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 ht="16.5" customHeight="1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 ht="15.75" customHeight="1">
      <x:c r="A36" s="98" t="s">
        <x:v>40</x:v>
      </x:c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68"/>
    </x:row>
    <x:row r="37" ht="15" customHeight="1">
      <x:c r="A37" s="100"/>
      <x:c r="B37" s="105" t="s">
        <x:v>41</x:v>
      </x:c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72"/>
    </x:row>
    <x:row r="38" ht="15.75" customHeight="1">
      <x:c r="A38" s="100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72"/>
    </x:row>
    <x:row r="39" ht="15.75" customHeight="1">
      <x:c r="A39" s="100"/>
      <x:c r="B39" s="356" t="str">
        <x:v>Situação atual.:</x:v>
      </x:c>
      <x:c r="C39" s="356"/>
      <x:c r="D39" s="114" t="str">
        <x:f>IF($N$10="","",IFERROR(INDEX('Listagem de Sócios'!$I$4:$I$53,MATCH($N$10,'Listagem de Sócios'!$A$4:$A$53,0)),""))</x:f>
      </x:c>
      <x:c r="E39" s="114"/>
      <x:c r="F39" s="101"/>
      <x:c r="G39" s="101"/>
      <x:c r="H39" s="101"/>
      <x:c r="I39" s="101"/>
      <x:c r="J39" s="101"/>
      <x:c r="K39" s="101"/>
      <x:c r="L39" s="101"/>
      <x:c r="M39" s="101"/>
      <x:c r="N39" s="72"/>
    </x:row>
    <x:row r="40" ht="15.75" customHeight="1">
      <x:c r="A40" s="100"/>
      <x:c r="B40" s="356" t="str">
        <x:v>Anos pagos.:</x:v>
      </x:c>
      <x:c r="C40" s="356"/>
      <x:c r="D40" s="360" t="str">
        <x:f>IF($N$10="","",IFERROR(TEXTJOIN(", ",TRUE,IF(INDEX('Listagem de Sócios'!$J$4:$J$53,MATCH($N$10,'Listagem de Sócios'!$A$4:$A$53,0))="Pago","2026",""),IF(INDEX('Listagem de Sócios'!$K$4:$K$53,MATCH($N$10,'Listagem de Sócios'!$A$4:$A$53,0))="Pago","2027",""),IF(INDEX('Listagem de Sócios'!$L$4:$L$53,MATCH($N$10,'Listagem de Sócios'!$A$4:$A$53,0))="Pago","2028",""),IF(INDEX('Listagem de Sócios'!$M$4:$M$53,MATCH($N$10,'Listagem de Sócios'!$A$4:$A$53,0))="Pago","2029",""),IF(INDEX('Listagem de Sócios'!$N$4:$N$53,MATCH($N$10,'Listagem de Sócios'!$A$4:$A$53,0))="Pago","2030","")),""))</x:f>
      </x:c>
      <x:c r="E40" s="360"/>
      <x:c r="F40" s="360"/>
      <x:c r="G40" s="360"/>
      <x:c r="H40" s="360"/>
      <x:c r="I40" s="360"/>
      <x:c r="J40" s="360"/>
      <x:c r="K40" s="360"/>
      <x:c r="L40" s="360"/>
      <x:c r="M40" s="360"/>
      <x:c r="N40" s="361"/>
    </x:row>
    <x:row r="41" ht="15.75" customHeight="1">
      <x:c r="A41" s="100"/>
      <x:c r="B41" s="356" t="str">
        <x:v>Modo pagamento.:</x:v>
      </x:c>
      <x:c r="C41" s="356"/>
      <x:c r="D41" s="360"/>
      <x:c r="E41" s="360" t="str">
        <x:f>IF($N$10="","",IFERROR(INDEX('Listagem de Sócios'!$O$4:$O$53,MATCH($N$10,'Listagem de Sócios'!$A$4:$A$53,0)),""))</x:f>
      </x:c>
      <x:c r="F41" s="360"/>
      <x:c r="G41" s="360"/>
      <x:c r="H41" s="360"/>
      <x:c r="I41" s="360"/>
      <x:c r="J41" s="360"/>
      <x:c r="K41" s="360"/>
      <x:c r="L41" s="360"/>
      <x:c r="M41" s="360"/>
      <x:c r="N41" s="361"/>
    </x:row>
    <x:row r="42" ht="15" customHeight="1">
      <x:c r="A42" s="102"/>
      <x:c r="B42" s="103"/>
      <x:c r="C42" s="103"/>
      <x:c r="D42" s="103"/>
      <x:c r="E42" s="103"/>
      <x:c r="F42" s="103"/>
      <x:c r="G42" s="103"/>
      <x:c r="H42" s="103"/>
      <x:c r="I42" s="103"/>
      <x:c r="J42" s="103"/>
      <x:c r="K42" s="103"/>
      <x:c r="L42" s="103"/>
      <x:c r="M42" s="103"/>
      <x:c r="N42" s="75"/>
    </x:row>
    <x:row r="43" ht="15.75" customHeight="1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M43" s="70"/>
    </x:row>
    <x:row r="44" ht="15.75" customHeight="1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 ht="15.75" customHeight="1"/>
    <x:row r="46" ht="15.75" customHeight="1">
      <x:c r="A46" s="120" t="s">
        <x:v>42</x:v>
      </x:c>
      <x:c r="B46" s="121"/>
      <x:c r="C46" s="121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68"/>
    </x:row>
    <x:row r="47">
      <x:c r="A47" s="69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72"/>
    </x:row>
    <x:row r="48" ht="15" customHeight="1">
      <x:c r="A48" s="115" t="s">
        <x:v>43</x:v>
      </x:c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7"/>
    </x:row>
    <x:row r="49" ht="14.25" customHeight="1">
      <x:c r="A49" s="115"/>
      <x:c r="B49" s="116"/>
      <x:c r="C49" s="116"/>
      <x:c r="D49" s="116"/>
      <x:c r="E49" s="116"/>
      <x:c r="F49" s="116"/>
      <x:c r="G49" s="116"/>
      <x:c r="H49" s="116"/>
      <x:c r="I49" s="116"/>
      <x:c r="J49" s="116"/>
      <x:c r="K49" s="116"/>
      <x:c r="L49" s="116"/>
      <x:c r="M49" s="116"/>
      <x:c r="N49" s="117"/>
      <x:c r="O49" s="80"/>
    </x:row>
    <x:row r="50" ht="14.25" customHeight="1">
      <x:c r="A50" s="115"/>
      <x:c r="B50" s="116"/>
      <x:c r="C50" s="116"/>
      <x:c r="D50" s="116"/>
      <x:c r="E50" s="116"/>
      <x:c r="F50" s="116"/>
      <x:c r="G50" s="116"/>
      <x:c r="H50" s="116"/>
      <x:c r="I50" s="116"/>
      <x:c r="J50" s="116"/>
      <x:c r="K50" s="116"/>
      <x:c r="L50" s="116"/>
      <x:c r="M50" s="116"/>
      <x:c r="N50" s="117"/>
    </x:row>
    <x:row r="51">
      <x:c r="A51" s="69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72"/>
    </x:row>
    <x:row r="52" ht="15.75" customHeight="1">
      <x:c r="A52" s="122" t="s">
        <x:v>44</x:v>
      </x:c>
      <x:c r="B52" s="119"/>
      <x:c r="C52" s="123"/>
      <x:c r="D52" s="119"/>
      <x:c r="E52" s="119"/>
      <x:c r="F52" s="119"/>
      <x:c r="G52" s="119"/>
      <x:c r="H52" s="80"/>
      <x:c r="I52" s="80"/>
      <x:c r="J52" s="80"/>
      <x:c r="K52" s="80"/>
      <x:c r="L52" s="80"/>
      <x:c r="M52" s="80"/>
      <x:c r="N52" s="72"/>
    </x:row>
    <x:row r="53" ht="15.75" customHeight="1">
      <x:c r="A53" s="89"/>
      <x:c r="B53" s="90"/>
      <x:c r="C53" s="90"/>
      <x:c r="D53" s="90"/>
      <x:c r="E53" s="90"/>
      <x:c r="F53" s="90"/>
      <x:c r="G53" s="90"/>
      <x:c r="H53" s="80"/>
      <x:c r="I53" s="80"/>
      <x:c r="J53" s="80"/>
      <x:c r="K53" s="80"/>
      <x:c r="L53" s="80"/>
      <x:c r="M53" s="80"/>
      <x:c r="N53" s="72"/>
    </x:row>
    <x:row r="54" ht="15.75" customHeight="1">
      <x:c r="A54" s="118" t="s">
        <x:v>45</x:v>
      </x:c>
      <x:c r="B54" s="119"/>
      <x:c r="C54" s="94" t="s">
        <x:v>32</x:v>
      </x:c>
      <x:c r="D54" s="94" t="s">
        <x:v>32</x:v>
      </x:c>
      <x:c r="E54" s="95"/>
      <x:c r="F54" s="90"/>
      <x:c r="G54" s="90"/>
      <x:c r="H54" s="80"/>
      <x:c r="I54" s="80"/>
      <x:c r="J54" s="80"/>
      <x:c r="K54" s="80"/>
      <x:c r="L54" s="80"/>
      <x:c r="M54" s="80"/>
      <x:c r="N54" s="72"/>
    </x:row>
    <x:row r="55" ht="15.75" customHeight="1">
      <x:c r="A55" s="73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5"/>
    </x:row>
    <x:row r="57">
      <x:c r="H57" s="66" t="s">
        <x:v>46</x:v>
      </x:c>
    </x:row>
  </x:sheetData>
  <x:mergeCells>
    <x:mergeCell ref="A54:B54"/>
    <x:mergeCell ref="A46:C46"/>
    <x:mergeCell ref="A52:B52"/>
    <x:mergeCell ref="C52:G52"/>
    <x:mergeCell ref="B31:D31"/>
    <x:mergeCell ref="E31:J31"/>
    <x:mergeCell ref="A16:C16"/>
    <x:mergeCell ref="A18:B18"/>
    <x:mergeCell ref="C18:E18"/>
    <x:mergeCell ref="D39:E39"/>
    <x:mergeCell ref="A48:N50"/>
    <x:mergeCell ref="E28:J28"/>
    <x:mergeCell ref="E29:J29"/>
    <x:mergeCell ref="M28:N28"/>
    <x:mergeCell ref="K31:L31"/>
    <x:mergeCell ref="A26:C26"/>
    <x:mergeCell ref="K18:M18"/>
    <x:mergeCell ref="B28:D28"/>
    <x:mergeCell ref="B29:D29"/>
    <x:mergeCell ref="B30:D30"/>
    <x:mergeCell ref="A20:B20"/>
    <x:mergeCell ref="K29:L29"/>
    <x:mergeCell ref="M29:N29"/>
    <x:mergeCell ref="D40:N40"/>
    <x:mergeCell ref="B39:C39"/>
    <x:mergeCell ref="B40:C40"/>
    <x:mergeCell ref="B41:D41"/>
    <x:mergeCell ref="E41:N41"/>
  </x:mergeCells>
  <x:conditionalFormatting sqref="D39:E39">
    <x:cfRule type="expression" dxfId="2" priority="1">
      <x:formula>D39="Em dia"</x:formula>
    </x:cfRule>
    <x:cfRule type="expression" dxfId="3" priority="2">
      <x:formula>D39="Em falta"</x:formula>
    </x:cfRule>
  </x:conditionalFormatting>
  <x:dataValidations count="1">
    <x:dataValidation type="list" sqref="N10">
      <x:formula1>NumerosSocios</x:formula1>
    </x:dataValidation>
  </x:dataValidations>
  <x:pageMargins left="0.7" right="0.7" top="0.75" bottom="0.75" header="0.3" footer="0.3"/>
  <x:drawing xmlns:r="http://schemas.openxmlformats.org/officeDocument/2006/relationships" r:id="Rea80a38f8ff34130"/>
</x:worksheet>
</file>

<file path=xl/worksheets/sheet4.xml><?xml version="1.0" encoding="utf-8"?>
<x:worksheet xmlns:x="http://schemas.openxmlformats.org/spreadsheetml/2006/main">
  <x:sheetFormatPr defaultRowHeight="15"/>
  <x:cols>
    <x:col min="3" max="4" width="5" style="49" customWidth="1"/>
    <x:col min="5" max="5" width="7.28515625" style="49" customWidth="1"/>
    <x:col min="8" max="8" width="10.7109375" style="49" customWidth="1"/>
    <x:col min="9" max="9" width="9.140625" style="49" customWidth="1"/>
    <x:col min="10" max="10" width="10.5703125" style="49" customWidth="1"/>
    <x:col min="11" max="11" width="2.85546875" style="49" customWidth="1"/>
  </x:cols>
  <x:sheetData>
    <x:row r="1" ht="15.75" customHeight="1"/>
    <x:row r="2" ht="15" customHeight="1">
      <x:c r="A2" s="136" t="s">
        <x:v>47</x:v>
      </x:c>
      <x:c r="B2" s="137"/>
      <x:c r="C2" s="137"/>
      <x:c r="D2" s="50"/>
      <x:c r="E2" s="50"/>
      <x:c r="F2" s="50"/>
      <x:c r="G2" s="50"/>
      <x:c r="H2" s="50"/>
      <x:c r="I2" s="50"/>
      <x:c r="J2" s="50"/>
      <x:c r="K2" s="2"/>
    </x:row>
    <x:row r="3" ht="15" customHeight="1">
      <x:c r="A3" s="52"/>
      <x:c r="I3" s="142" t="s">
        <x:v>48</x:v>
      </x:c>
      <x:c r="J3" s="143"/>
      <x:c r="K3" s="51"/>
    </x:row>
    <x:row r="4" ht="15" customHeight="1">
      <x:c r="A4" s="148" t="s">
        <x:v>49</x:v>
      </x:c>
      <x:c r="B4" s="107"/>
      <x:c r="C4" s="1" t="s">
        <x:v>32</x:v>
      </x:c>
      <x:c r="D4" s="1" t="s">
        <x:v>32</x:v>
      </x:c>
      <x:c r="E4" s="53"/>
      <x:c r="K4" s="51"/>
    </x:row>
    <x:row r="5" ht="15" customHeight="1">
      <x:c r="A5" s="54"/>
      <x:c r="B5" s="46"/>
      <x:c r="C5" s="3"/>
      <x:c r="D5" s="3"/>
      <x:c r="H5" s="145" t="s">
        <x:v>30</x:v>
      </x:c>
      <x:c r="I5" s="107"/>
      <x:c r="J5" s="107"/>
      <x:c r="K5" s="51"/>
    </x:row>
    <x:row r="6" ht="15" customHeight="1">
      <x:c r="A6" s="135" t="s">
        <x:v>31</x:v>
      </x:c>
      <x:c r="B6" s="107"/>
      <x:c r="C6" s="1" t="s">
        <x:v>32</x:v>
      </x:c>
      <x:c r="D6" s="1" t="s">
        <x:v>32</x:v>
      </x:c>
      <x:c r="E6" s="53"/>
      <x:c r="K6" s="51"/>
    </x:row>
    <x:row r="7" ht="15" customHeight="1">
      <x:c r="A7" s="16"/>
      <x:c r="B7" s="17"/>
      <x:c r="C7" s="3"/>
      <x:c r="D7" s="3"/>
      <x:c r="H7" s="53"/>
      <x:c r="I7" s="53"/>
      <x:c r="J7" s="53"/>
      <x:c r="K7" s="51"/>
    </x:row>
    <x:row r="8" ht="15" customHeight="1">
      <x:c r="A8" s="4"/>
      <x:c r="B8" s="5"/>
      <x:c r="C8" s="5"/>
      <x:c r="D8" s="5"/>
      <x:c r="E8" s="5"/>
      <x:c r="F8" s="5"/>
      <x:c r="G8" s="5"/>
      <x:c r="H8" s="5"/>
      <x:c r="I8" s="5"/>
      <x:c r="J8" s="5"/>
      <x:c r="K8" s="6"/>
    </x:row>
    <x:row r="9" ht="15" customHeight="1"/>
    <x:row r="10" ht="15.75" customHeight="1"/>
    <x:row r="11" ht="15.75" customHeight="1">
      <x:c r="A11" s="139" t="s">
        <x:v>50</x:v>
      </x:c>
      <x:c r="B11" s="137"/>
      <x:c r="C11" s="7"/>
      <x:c r="D11" s="7"/>
      <x:c r="E11" s="7"/>
      <x:c r="F11" s="7"/>
      <x:c r="G11" s="7"/>
      <x:c r="H11" s="7"/>
      <x:c r="I11" s="7"/>
      <x:c r="J11" s="7"/>
      <x:c r="K11" s="8"/>
    </x:row>
    <x:row r="12" ht="15.75" customHeight="1">
      <x:c r="A12" s="9"/>
      <x:c r="B12" s="14"/>
      <x:c r="C12" s="14"/>
      <x:c r="D12" s="14"/>
      <x:c r="E12" s="14"/>
      <x:c r="F12" s="14"/>
      <x:c r="G12" s="14"/>
      <x:c r="H12" s="14"/>
      <x:c r="I12" s="14"/>
      <x:c r="J12" s="14"/>
      <x:c r="K12" s="10"/>
    </x:row>
    <x:row r="13" ht="20.25" customHeight="1">
      <x:c r="A13" s="144" t="s">
        <x:v>34</x:v>
      </x:c>
      <x:c r="B13" s="107"/>
      <x:c r="C13" s="30"/>
      <x:c r="K13" s="10"/>
    </x:row>
    <x:row r="14" ht="20.25" customHeight="1">
      <x:c r="A14" s="144" t="s">
        <x:v>51</x:v>
      </x:c>
      <x:c r="B14" s="107"/>
      <x:c r="C14" s="29"/>
      <x:c r="F14" s="15"/>
      <x:c r="G14" s="15"/>
      <x:c r="H14" s="20" t="s">
        <x:v>52</x:v>
      </x:c>
      <x:c r="I14" s="27"/>
      <x:c r="K14" s="10"/>
    </x:row>
    <x:row r="15" ht="20.25" customHeight="1">
      <x:c r="A15" s="144" t="s">
        <x:v>53</x:v>
      </x:c>
      <x:c r="B15" s="107"/>
      <x:c r="C15" s="27"/>
      <x:c r="F15" s="15"/>
      <x:c r="G15" s="15" t="s">
        <x:v>54</x:v>
      </x:c>
      <x:c r="H15" s="28"/>
      <x:c r="K15" s="10"/>
    </x:row>
    <x:row r="16" ht="16.5" customHeight="1">
      <x:c r="A16" s="11"/>
      <x:c r="B16" s="12"/>
      <x:c r="C16" s="12"/>
      <x:c r="D16" s="12"/>
      <x:c r="E16" s="12"/>
      <x:c r="F16" s="12"/>
      <x:c r="G16" s="12"/>
      <x:c r="H16" s="12"/>
      <x:c r="I16" s="12"/>
      <x:c r="J16" s="12"/>
      <x:c r="K16" s="13"/>
    </x:row>
    <x:row r="17" ht="15.75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 ht="16.5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15" customHeight="1">
      <x:c r="A19" s="149" t="s">
        <x:v>55</x:v>
      </x:c>
      <x:c r="B19" s="137"/>
      <x:c r="C19" s="7"/>
      <x:c r="D19" s="7"/>
      <x:c r="E19" s="7"/>
      <x:c r="F19" s="7"/>
      <x:c r="G19" s="7"/>
      <x:c r="H19" s="7"/>
      <x:c r="I19" s="7"/>
      <x:c r="J19" s="7"/>
      <x:c r="K19" s="8"/>
    </x:row>
    <x:row r="20" ht="15" customHeight="1">
      <x:c r="A20" s="9"/>
      <x:c r="B20" s="14"/>
      <x:c r="C20" s="14"/>
      <x:c r="D20" s="14"/>
      <x:c r="E20" s="14"/>
      <x:c r="F20" s="14"/>
      <x:c r="G20" s="14"/>
      <x:c r="H20" s="14"/>
      <x:c r="I20" s="14"/>
      <x:c r="J20" s="14"/>
      <x:c r="K20" s="10"/>
    </x:row>
    <x:row r="21" ht="20.25" customHeight="1">
      <x:c r="A21" s="144" t="s">
        <x:v>56</x:v>
      </x:c>
      <x:c r="B21" s="107"/>
      <x:c r="C21" s="30"/>
      <x:c r="H21" s="15" t="s">
        <x:v>57</x:v>
      </x:c>
      <x:c r="I21" s="30"/>
      <x:c r="K21" s="10"/>
    </x:row>
    <x:row r="22" ht="20.25" customHeight="1">
      <x:c r="A22" s="146" t="s">
        <x:v>37</x:v>
      </x:c>
      <x:c r="B22" s="107"/>
      <x:c r="C22" s="31"/>
      <x:c r="H22" s="15" t="s">
        <x:v>58</x:v>
      </x:c>
      <x:c r="I22" s="27"/>
      <x:c r="K22" s="10"/>
    </x:row>
    <x:row r="23" ht="20.25" customHeight="1">
      <x:c r="A23" s="146" t="s">
        <x:v>38</x:v>
      </x:c>
      <x:c r="B23" s="107"/>
      <x:c r="C23" s="32" t="s">
        <x:v>59</x:v>
      </x:c>
      <x:c r="K23" s="10"/>
    </x:row>
    <x:row r="24" ht="15" customHeight="1">
      <x:c r="A24" s="11"/>
      <x:c r="B24" s="12"/>
      <x:c r="C24" s="12"/>
      <x:c r="D24" s="12"/>
      <x:c r="E24" s="12"/>
      <x:c r="F24" s="12"/>
      <x:c r="G24" s="12"/>
      <x:c r="H24" s="12"/>
      <x:c r="I24" s="12"/>
      <x:c r="J24" s="12"/>
      <x:c r="K24" s="13"/>
    </x:row>
    <x:row r="25" ht="15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 ht="15.75" customHeight="1"/>
    <x:row r="27" ht="15.75" customHeight="1">
      <x:c r="A27" s="139" t="s">
        <x:v>40</x:v>
      </x:c>
      <x:c r="B27" s="137"/>
      <x:c r="C27" s="22"/>
      <x:c r="D27" s="50"/>
      <x:c r="E27" s="50"/>
      <x:c r="F27" s="50"/>
      <x:c r="G27" s="50"/>
      <x:c r="H27" s="50"/>
      <x:c r="I27" s="50"/>
      <x:c r="J27" s="50"/>
      <x:c r="K27" s="2"/>
    </x:row>
    <x:row r="28">
      <x:c r="A28" s="52"/>
      <x:c r="K28" s="51"/>
    </x:row>
    <x:row r="29" ht="15.75" customHeight="1">
      <x:c r="A29" s="21"/>
      <x:c r="B29" s="150" t="s">
        <x:v>60</x:v>
      </x:c>
      <x:c r="C29" s="107"/>
      <x:c r="D29" s="107"/>
      <x:c r="E29" s="107"/>
      <x:c r="F29" s="23"/>
      <x:c r="G29" s="138" t="s">
        <x:v>61</x:v>
      </x:c>
      <x:c r="H29" s="107"/>
      <x:c r="I29" s="107"/>
      <x:c r="J29" s="33"/>
      <x:c r="K29" s="10"/>
    </x:row>
    <x:row r="30" ht="15.75" customHeight="1">
      <x:c r="A30" s="9"/>
      <x:c r="B30" s="14"/>
      <x:c r="C30" s="14"/>
      <x:c r="D30" s="14"/>
      <x:c r="E30" s="14"/>
      <x:c r="F30" s="14"/>
      <x:c r="G30" s="14"/>
      <x:c r="H30" s="14"/>
      <x:c r="I30" s="14"/>
      <x:c r="J30" s="14"/>
      <x:c r="K30" s="10"/>
    </x:row>
    <x:row r="31" ht="15" customHeight="1">
      <x:c r="A31" s="4"/>
      <x:c r="B31" s="5"/>
      <x:c r="C31" s="5"/>
      <x:c r="D31" s="12"/>
      <x:c r="E31" s="12"/>
      <x:c r="F31" s="12"/>
      <x:c r="G31" s="12"/>
      <x:c r="H31" s="12"/>
      <x:c r="I31" s="12"/>
      <x:c r="J31" s="12"/>
      <x:c r="K31" s="13"/>
    </x:row>
    <x:row r="32" ht="15.75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 ht="15.75" customHeight="1"/>
    <x:row r="34" ht="15.75" customHeight="1">
      <x:c r="A34" s="147" t="s">
        <x:v>42</x:v>
      </x:c>
      <x:c r="B34" s="137"/>
      <x:c r="C34" s="137"/>
      <x:c r="D34" s="50"/>
      <x:c r="E34" s="50"/>
      <x:c r="F34" s="50"/>
      <x:c r="G34" s="50"/>
      <x:c r="H34" s="50"/>
      <x:c r="I34" s="50"/>
      <x:c r="J34" s="50"/>
      <x:c r="K34" s="2"/>
    </x:row>
    <x:row r="35">
      <x:c r="A35" s="52"/>
      <x:c r="K35" s="51"/>
    </x:row>
    <x:row r="36" ht="15" customHeight="1">
      <x:c r="A36" s="132" t="s">
        <x:v>43</x:v>
      </x:c>
      <x:c r="B36" s="107"/>
      <x:c r="C36" s="107"/>
      <x:c r="D36" s="107"/>
      <x:c r="E36" s="107"/>
      <x:c r="F36" s="107"/>
      <x:c r="G36" s="107"/>
      <x:c r="H36" s="107"/>
      <x:c r="I36" s="107"/>
      <x:c r="J36" s="107"/>
      <x:c r="K36" s="133"/>
    </x:row>
    <x:row r="37">
      <x:c r="A37" s="134"/>
      <x:c r="B37" s="107"/>
      <x:c r="C37" s="107"/>
      <x:c r="D37" s="107"/>
      <x:c r="E37" s="107"/>
      <x:c r="F37" s="107"/>
      <x:c r="G37" s="107"/>
      <x:c r="H37" s="107"/>
      <x:c r="I37" s="107"/>
      <x:c r="J37" s="107"/>
      <x:c r="K37" s="133"/>
    </x:row>
    <x:row r="38">
      <x:c r="A38" s="134"/>
      <x:c r="B38" s="107"/>
      <x:c r="C38" s="107"/>
      <x:c r="D38" s="107"/>
      <x:c r="E38" s="107"/>
      <x:c r="F38" s="107"/>
      <x:c r="G38" s="107"/>
      <x:c r="H38" s="107"/>
      <x:c r="I38" s="107"/>
      <x:c r="J38" s="107"/>
      <x:c r="K38" s="133"/>
    </x:row>
    <x:row r="39">
      <x:c r="A39" s="52"/>
      <x:c r="K39" s="51"/>
    </x:row>
    <x:row r="40" ht="15.75" customHeight="1">
      <x:c r="A40" s="151" t="s">
        <x:v>44</x:v>
      </x:c>
      <x:c r="B40" s="107"/>
      <x:c r="C40" s="140"/>
      <x:c r="D40" s="141"/>
      <x:c r="E40" s="141"/>
      <x:c r="F40" s="141"/>
      <x:c r="G40" s="141"/>
      <x:c r="K40" s="51"/>
    </x:row>
    <x:row r="41" ht="15.75" customHeight="1">
      <x:c r="A41" s="9"/>
      <x:c r="B41" s="14"/>
      <x:c r="C41" s="14"/>
      <x:c r="D41" s="14"/>
      <x:c r="E41" s="14"/>
      <x:c r="F41" s="14"/>
      <x:c r="G41" s="14"/>
      <x:c r="K41" s="51"/>
    </x:row>
    <x:row r="42" ht="15.75" customHeight="1">
      <x:c r="A42" s="144" t="s">
        <x:v>45</x:v>
      </x:c>
      <x:c r="B42" s="107"/>
      <x:c r="C42" s="19" t="s">
        <x:v>32</x:v>
      </x:c>
      <x:c r="D42" s="19" t="s">
        <x:v>32</x:v>
      </x:c>
      <x:c r="E42" s="18"/>
      <x:c r="F42" s="14"/>
      <x:c r="G42" s="14"/>
      <x:c r="K42" s="51"/>
    </x:row>
    <x:row r="43" ht="15.75" customHeight="1">
      <x:c r="A43" s="4"/>
      <x:c r="B43" s="5"/>
      <x:c r="C43" s="5"/>
      <x:c r="D43" s="5"/>
      <x:c r="E43" s="5"/>
      <x:c r="F43" s="5"/>
      <x:c r="G43" s="5"/>
      <x:c r="H43" s="5"/>
      <x:c r="I43" s="5"/>
      <x:c r="J43" s="5"/>
      <x:c r="K43" s="6"/>
    </x:row>
    <x:row r="45">
      <x:c r="H45" t="s">
        <x:v>46</x:v>
      </x:c>
    </x:row>
  </x:sheetData>
  <x:mergeCells>
    <x:mergeCell ref="C40:G40"/>
    <x:mergeCell ref="I3:J3"/>
    <x:mergeCell ref="A21:B21"/>
    <x:mergeCell ref="H5:J5"/>
    <x:mergeCell ref="A42:B42"/>
    <x:mergeCell ref="A14:B14"/>
    <x:mergeCell ref="A23:B23"/>
    <x:mergeCell ref="A34:C34"/>
    <x:mergeCell ref="A22:B22"/>
    <x:mergeCell ref="A4:B4"/>
    <x:mergeCell ref="A19:B19"/>
    <x:mergeCell ref="B29:E29"/>
    <x:mergeCell ref="A13:B13"/>
    <x:mergeCell ref="A40:B40"/>
    <x:mergeCell ref="A15:B15"/>
    <x:mergeCell ref="A11:B11"/>
    <x:mergeCell ref="A36:K38"/>
    <x:mergeCell ref="A6:B6"/>
    <x:mergeCell ref="A2:C2"/>
    <x:mergeCell ref="G29:I29"/>
    <x:mergeCell ref="A27:B27"/>
  </x:mergeCells>
  <x:hyperlinks>
    <x:hyperlink xmlns:r="http://schemas.openxmlformats.org/officeDocument/2006/relationships" ref="C23" r:id="R8c8e4978dbb54370"/>
  </x:hyperlinks>
  <x:pageMargins left="0.7" right="0.7" top="0.75" bottom="0.75" header="0.3" footer="0.3"/>
  <x:drawing xmlns:r="http://schemas.openxmlformats.org/officeDocument/2006/relationships" r:id="R70e50c1a4d82470b"/>
</x:worksheet>
</file>